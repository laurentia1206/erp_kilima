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G01 - Requisition Form" sheetId="2" state="visible" r:id="rId2"/>
    <sheet xmlns:r="http://schemas.openxmlformats.org/officeDocument/2006/relationships" name="G02 - Ordre de Dépense" sheetId="3" state="visible" r:id="rId3"/>
    <sheet xmlns:r="http://schemas.openxmlformats.org/officeDocument/2006/relationships" name="G03 - Bon Réception Fonds" sheetId="4" state="visible" r:id="rId4"/>
    <sheet xmlns:r="http://schemas.openxmlformats.org/officeDocument/2006/relationships" name="G04 - Justification Avance" sheetId="5" state="visible" r:id="rId5"/>
    <sheet xmlns:r="http://schemas.openxmlformats.org/officeDocument/2006/relationships" name="G05 - Journal Caisse" sheetId="6" state="visible" r:id="rId6"/>
    <sheet xmlns:r="http://schemas.openxmlformats.org/officeDocument/2006/relationships" name="G06 - Bordereau Cession Fonds" sheetId="7" state="visible" r:id="rId7"/>
    <sheet xmlns:r="http://schemas.openxmlformats.org/officeDocument/2006/relationships" name="G07 - Suivi Créances" sheetId="8" state="visible" r:id="rId8"/>
    <sheet xmlns:r="http://schemas.openxmlformats.org/officeDocument/2006/relationships" name="G08 - Clôture Caisse" sheetId="9" state="visible" r:id="rId9"/>
    <sheet xmlns:r="http://schemas.openxmlformats.org/officeDocument/2006/relationships" name="G09 - Réconciliation Mensuelle" sheetId="10" state="visible" r:id="rId10"/>
  </sheets>
  <definedNames>
    <definedName name="_xlnm.Print_Area" localSheetId="1">'G01 - Requisition Form'!$A$1:$L$41</definedName>
    <definedName name="_xlnm.Print_Area" localSheetId="2">'G02 - Ordre de Dépense'!$A$1:$L$35</definedName>
    <definedName name="_xlnm.Print_Area" localSheetId="3">'G03 - Bon Réception Fonds'!$A$1:$L$27</definedName>
    <definedName name="_xlnm.Print_Area" localSheetId="4">'G04 - Justification Avance'!$A$1:$L$37</definedName>
    <definedName name="_xlnm.Print_Area" localSheetId="5">'G05 - Journal Caisse'!$A$1:$L$43</definedName>
    <definedName name="_xlnm.Print_Area" localSheetId="6">'G06 - Bordereau Cession Fonds'!$A$1:$L$32</definedName>
    <definedName name="_xlnm.Print_Area" localSheetId="7">'G07 - Suivi Créances'!$A$1:$M$42</definedName>
    <definedName name="_xlnm.Print_Area" localSheetId="8">'G08 - Clôture Caisse'!$A$1:$L$38</definedName>
    <definedName name="_xlnm.Print_Area" localSheetId="9">'G09 - Réconciliation Mensuelle'!$A$1:$M$51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C3489"/>
      <sz val="10"/>
    </font>
    <font>
      <name val="Arial"/>
      <b val="1"/>
      <color rgb="00FFFFFF"/>
      <sz val="10"/>
    </font>
    <font>
      <name val="Arial"/>
      <color rgb="002C2C2A"/>
      <sz val="9"/>
    </font>
    <font>
      <name val="Arial"/>
      <i val="1"/>
      <color rgb="00854F0B"/>
      <sz val="9"/>
    </font>
    <font>
      <name val="Arial"/>
      <b val="1"/>
      <color rgb="00FFFFFF"/>
      <sz val="13"/>
    </font>
    <font>
      <name val="Arial"/>
      <b val="1"/>
      <color rgb="00FAEEDA"/>
      <sz val="11"/>
    </font>
    <font>
      <name val="Arial"/>
      <b val="1"/>
      <color rgb="00FFFFFF"/>
      <sz val="11"/>
    </font>
    <font>
      <name val="Arial"/>
      <i val="1"/>
      <color rgb="003C3489"/>
      <sz val="9"/>
    </font>
    <font>
      <name val="Arial"/>
      <b val="1"/>
      <color rgb="003C3489"/>
      <sz val="9"/>
    </font>
    <font>
      <name val="Arial"/>
      <b val="1"/>
      <color rgb="00FFFFFF"/>
      <sz val="9"/>
    </font>
    <font>
      <name val="Arial"/>
      <b val="1"/>
      <color rgb="003C3489"/>
      <sz val="10"/>
    </font>
    <font>
      <name val="Arial"/>
      <color rgb="002C2C2A"/>
      <sz val="10"/>
    </font>
    <font>
      <name val="Arial"/>
      <color rgb="005F5E5A"/>
      <sz val="9"/>
    </font>
    <font>
      <name val="Arial"/>
      <i val="1"/>
      <color rgb="005F5E5A"/>
      <sz val="8"/>
    </font>
    <font>
      <name val="Arial"/>
      <b val="1"/>
      <color rgb="00854F0B"/>
      <sz val="10"/>
    </font>
    <font>
      <name val="Arial"/>
      <b val="1"/>
      <color rgb="002C2C2A"/>
      <sz val="11"/>
    </font>
    <font>
      <name val="Arial"/>
      <i val="1"/>
      <color rgb="00A32D2D"/>
      <sz val="8"/>
    </font>
    <font>
      <name val="Arial"/>
      <b val="1"/>
      <color rgb="002C2C2A"/>
      <sz val="12"/>
    </font>
    <font>
      <name val="Arial"/>
      <b val="1"/>
      <color rgb="002C2C2A"/>
      <sz val="10"/>
    </font>
    <font>
      <name val="Arial"/>
      <color rgb="005F5E5A"/>
      <sz val="8"/>
    </font>
    <font>
      <name val="Arial"/>
      <b val="1"/>
      <color rgb="000F6E56"/>
      <sz val="10"/>
    </font>
    <font>
      <name val="Arial"/>
      <b val="1"/>
      <i val="1"/>
      <color rgb="00854F0B"/>
      <sz val="10"/>
    </font>
    <font>
      <name val="Arial"/>
      <b val="1"/>
      <i val="1"/>
      <color rgb="00A32D2D"/>
      <sz val="10"/>
    </font>
    <font>
      <name val="Arial"/>
      <b val="1"/>
      <color rgb="00FFFFFF"/>
      <sz val="8"/>
    </font>
    <font>
      <name val="Arial"/>
      <i val="1"/>
      <color rgb="00854F0B"/>
      <sz val="8"/>
    </font>
    <font>
      <name val="Arial"/>
      <color rgb="00854F0B"/>
      <sz val="10"/>
    </font>
    <font>
      <name val="Arial"/>
      <color rgb="000F6E56"/>
      <sz val="9"/>
    </font>
    <font>
      <name val="Arial"/>
      <color rgb="00993C1D"/>
      <sz val="9"/>
    </font>
    <font>
      <name val="Arial"/>
      <b val="1"/>
      <color rgb="00A32D2D"/>
      <sz val="10"/>
    </font>
    <font>
      <name val="Arial"/>
      <b val="1"/>
      <color rgb="000F6E56"/>
      <sz val="9"/>
    </font>
    <font>
      <name val="Arial"/>
      <b val="1"/>
      <color rgb="00993C1D"/>
      <sz val="9"/>
    </font>
    <font>
      <name val="Arial"/>
      <b val="1"/>
      <color rgb="00854F0B"/>
      <sz val="9"/>
    </font>
    <font>
      <name val="Arial"/>
      <b val="1"/>
      <i val="1"/>
      <color rgb="00A32D2D"/>
      <sz val="9"/>
    </font>
    <font>
      <name val="Arial"/>
      <color rgb="00854F0B"/>
      <sz val="9"/>
    </font>
  </fonts>
  <fills count="16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EEEDFE"/>
      </patternFill>
    </fill>
    <fill>
      <patternFill patternType="solid">
        <fgColor rgb="000F6E56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FFFACD"/>
      </patternFill>
    </fill>
    <fill>
      <patternFill patternType="solid">
        <fgColor rgb="00F1EFE8"/>
      </patternFill>
    </fill>
    <fill>
      <patternFill patternType="solid">
        <fgColor rgb="005F5E5A"/>
      </patternFill>
    </fill>
    <fill>
      <patternFill patternType="solid">
        <fgColor rgb="00854F0B"/>
      </patternFill>
    </fill>
    <fill>
      <patternFill patternType="solid">
        <fgColor rgb="00FCEBEB"/>
      </patternFill>
    </fill>
    <fill>
      <patternFill patternType="solid">
        <fgColor rgb="00993C1D"/>
      </patternFill>
    </fill>
    <fill>
      <patternFill patternType="solid">
        <fgColor rgb="00FAECE7"/>
      </patternFill>
    </fill>
    <fill>
      <patternFill patternType="solid">
        <fgColor rgb="00A32D2D"/>
      </patternFill>
    </fill>
  </fills>
  <borders count="9">
    <border>
      <left/>
      <right/>
      <top/>
      <bottom/>
      <diagonal/>
    </border>
    <border>
      <left style="thin">
        <color rgb="000F6E56"/>
      </left>
      <right style="thin">
        <color rgb="000F6E56"/>
      </right>
      <top style="thin">
        <color rgb="000F6E56"/>
      </top>
      <bottom style="thin">
        <color rgb="000F6E56"/>
      </bottom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  <border>
      <left style="thin">
        <color rgb="00854F0B"/>
      </left>
      <right style="thin">
        <color rgb="00854F0B"/>
      </right>
      <top style="thin">
        <color rgb="00854F0B"/>
      </top>
      <bottom style="thin">
        <color rgb="00854F0B"/>
      </bottom>
    </border>
    <border>
      <left style="thin">
        <color rgb="007F77DD"/>
      </left>
      <right style="thin">
        <color rgb="007F77DD"/>
      </right>
      <top style="thin">
        <color rgb="007F77DD"/>
      </top>
      <bottom style="thin">
        <color rgb="007F77DD"/>
      </bottom>
    </border>
    <border>
      <left style="thin">
        <color rgb="003C3489"/>
      </left>
      <right style="thin">
        <color rgb="003C3489"/>
      </right>
      <top style="thin">
        <color rgb="003C3489"/>
      </top>
      <bottom style="thin">
        <color rgb="003C3489"/>
      </bottom>
    </border>
    <border>
      <left style="thin">
        <color rgb="00FAECE7"/>
      </left>
      <right style="thin">
        <color rgb="00FAECE7"/>
      </right>
      <top style="thin">
        <color rgb="00FAECE7"/>
      </top>
      <bottom style="thin">
        <color rgb="00FAECE7"/>
      </bottom>
    </border>
    <border>
      <left style="thin">
        <color rgb="00A32D2D"/>
      </left>
      <right style="thin">
        <color rgb="00A32D2D"/>
      </right>
      <top style="thin">
        <color rgb="00A32D2D"/>
      </top>
      <bottom style="thin">
        <color rgb="00A32D2D"/>
      </bottom>
    </border>
    <border>
      <left style="thin">
        <color rgb="00FCEBEB"/>
      </left>
      <right style="thin">
        <color rgb="00FCEBEB"/>
      </right>
      <top style="thin">
        <color rgb="00FCEBEB"/>
      </top>
      <bottom style="thin">
        <color rgb="00FCEBEB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0" fontId="8" fillId="4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right" vertical="center" wrapText="1"/>
    </xf>
    <xf numFmtId="0" fontId="13" fillId="7" borderId="3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13" fillId="8" borderId="4" applyAlignment="1" pivotButton="0" quotePrefix="0" xfId="0">
      <alignment horizontal="left" vertical="center" wrapText="1"/>
    </xf>
    <xf numFmtId="0" fontId="11" fillId="2" borderId="5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11" fillId="11" borderId="3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right" vertical="center" wrapText="1"/>
    </xf>
    <xf numFmtId="0" fontId="17" fillId="8" borderId="3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left" vertical="center" wrapText="1"/>
    </xf>
    <xf numFmtId="0" fontId="18" fillId="12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left" vertical="center" wrapText="1"/>
    </xf>
    <xf numFmtId="0" fontId="11" fillId="13" borderId="0" applyAlignment="1" pivotButton="0" quotePrefix="0" xfId="0">
      <alignment horizontal="center" vertical="center" wrapText="1"/>
    </xf>
    <xf numFmtId="0" fontId="19" fillId="8" borderId="6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20" fillId="8" borderId="5" applyAlignment="1" pivotButton="0" quotePrefix="0" xfId="0">
      <alignment horizontal="left" vertical="center" wrapText="1"/>
    </xf>
    <xf numFmtId="0" fontId="21" fillId="9" borderId="0" applyAlignment="1" pivotButton="0" quotePrefix="0" xfId="0">
      <alignment horizontal="center" vertical="center" wrapText="1"/>
    </xf>
    <xf numFmtId="0" fontId="22" fillId="6" borderId="0" applyAlignment="1" pivotButton="0" quotePrefix="0" xfId="0">
      <alignment horizontal="right" vertical="center" wrapText="1"/>
    </xf>
    <xf numFmtId="0" fontId="20" fillId="8" borderId="1" applyAlignment="1" pivotButton="0" quotePrefix="0" xfId="0">
      <alignment horizontal="left" vertical="center" wrapText="1"/>
    </xf>
    <xf numFmtId="0" fontId="23" fillId="7" borderId="0" applyAlignment="1" pivotButton="0" quotePrefix="0" xfId="0">
      <alignment horizontal="right" vertical="center" wrapText="1"/>
    </xf>
    <xf numFmtId="0" fontId="20" fillId="8" borderId="3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20" fillId="7" borderId="3" applyAlignment="1" pivotButton="0" quotePrefix="0" xfId="0">
      <alignment horizontal="left" vertical="center" wrapText="1"/>
    </xf>
    <xf numFmtId="0" fontId="20" fillId="8" borderId="3" applyAlignment="1" pivotButton="0" quotePrefix="0" xfId="0">
      <alignment horizontal="left" vertical="center" wrapText="1"/>
    </xf>
    <xf numFmtId="0" fontId="24" fillId="12" borderId="0" applyAlignment="1" pivotButton="0" quotePrefix="0" xfId="0">
      <alignment horizontal="right" vertical="center" wrapText="1"/>
    </xf>
    <xf numFmtId="0" fontId="20" fillId="8" borderId="7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right" vertical="center" wrapText="1"/>
    </xf>
    <xf numFmtId="0" fontId="19" fillId="8" borderId="3" applyAlignment="1" pivotButton="0" quotePrefix="0" xfId="0">
      <alignment horizontal="center" vertical="center" wrapText="1"/>
    </xf>
    <xf numFmtId="0" fontId="25" fillId="2" borderId="5" applyAlignment="1" pivotButton="0" quotePrefix="0" xfId="0">
      <alignment horizontal="center" vertical="center" wrapText="1"/>
    </xf>
    <xf numFmtId="1" fontId="4" fillId="5" borderId="2" applyAlignment="1" pivotButton="0" quotePrefix="0" xfId="0">
      <alignment horizontal="left" vertical="center" wrapText="1"/>
    </xf>
    <xf numFmtId="4" fontId="4" fillId="5" borderId="2" applyAlignment="1" pivotButton="0" quotePrefix="0" xfId="0">
      <alignment horizontal="left" vertical="center" wrapText="1"/>
    </xf>
    <xf numFmtId="1" fontId="4" fillId="3" borderId="2" applyAlignment="1" pivotButton="0" quotePrefix="0" xfId="0">
      <alignment horizontal="left" vertical="center" wrapText="1"/>
    </xf>
    <xf numFmtId="4" fontId="4" fillId="3" borderId="2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4" fontId="12" fillId="3" borderId="5" applyAlignment="1" pivotButton="0" quotePrefix="0" xfId="0">
      <alignment horizontal="center" vertical="center" wrapText="1"/>
    </xf>
    <xf numFmtId="0" fontId="26" fillId="7" borderId="0" applyAlignment="1" pivotButton="0" quotePrefix="0" xfId="0">
      <alignment horizontal="center" vertical="center" wrapText="1"/>
    </xf>
    <xf numFmtId="0" fontId="27" fillId="7" borderId="0" applyAlignment="1" pivotButton="0" quotePrefix="0" xfId="0">
      <alignment horizontal="left" vertical="center" wrapText="1"/>
    </xf>
    <xf numFmtId="0" fontId="17" fillId="8" borderId="2" applyAlignment="1" pivotButton="0" quotePrefix="0" xfId="0">
      <alignment horizontal="center" vertical="center" wrapText="1"/>
    </xf>
    <xf numFmtId="0" fontId="28" fillId="6" borderId="0" applyAlignment="1" pivotButton="0" quotePrefix="0" xfId="0">
      <alignment horizontal="left" vertical="center" wrapText="1"/>
    </xf>
    <xf numFmtId="0" fontId="29" fillId="14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left" vertical="center" wrapText="1"/>
    </xf>
    <xf numFmtId="0" fontId="30" fillId="12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left" vertical="center" wrapText="1"/>
    </xf>
    <xf numFmtId="0" fontId="13" fillId="8" borderId="8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center" vertical="center" wrapText="1"/>
    </xf>
    <xf numFmtId="0" fontId="28" fillId="6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31" fillId="6" borderId="2" applyAlignment="1" pivotButton="0" quotePrefix="0" xfId="0">
      <alignment horizontal="left" vertical="center" wrapText="1"/>
    </xf>
    <xf numFmtId="0" fontId="20" fillId="8" borderId="2" applyAlignment="1" pivotButton="0" quotePrefix="0" xfId="0">
      <alignment horizontal="center" vertical="center" wrapText="1"/>
    </xf>
    <xf numFmtId="0" fontId="29" fillId="14" borderId="2" applyAlignment="1" pivotButton="0" quotePrefix="0" xfId="0">
      <alignment horizontal="left" vertical="center" wrapText="1"/>
    </xf>
    <xf numFmtId="0" fontId="32" fillId="14" borderId="2" applyAlignment="1" pivotButton="0" quotePrefix="0" xfId="0">
      <alignment horizontal="left" vertical="center" wrapText="1"/>
    </xf>
    <xf numFmtId="0" fontId="33" fillId="7" borderId="0" applyAlignment="1" pivotButton="0" quotePrefix="0" xfId="0">
      <alignment horizontal="left" vertical="center" wrapText="1"/>
    </xf>
    <xf numFmtId="0" fontId="13" fillId="8" borderId="3" applyAlignment="1" pivotButton="0" quotePrefix="0" xfId="0">
      <alignment horizontal="center" vertical="center" wrapText="1"/>
    </xf>
    <xf numFmtId="0" fontId="34" fillId="12" borderId="0" applyAlignment="1" pivotButton="0" quotePrefix="0" xfId="0">
      <alignment horizontal="left" vertical="center" wrapText="1"/>
    </xf>
    <xf numFmtId="0" fontId="20" fillId="8" borderId="7" applyAlignment="1" pivotButton="0" quotePrefix="0" xfId="0">
      <alignment horizontal="center" vertical="center" wrapText="1"/>
    </xf>
    <xf numFmtId="0" fontId="35" fillId="7" borderId="0" applyAlignment="1" pivotButton="0" quotePrefix="0" xfId="0">
      <alignment horizontal="left" vertical="center" wrapText="1"/>
    </xf>
    <xf numFmtId="0" fontId="13" fillId="8" borderId="7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0" customWidth="1" min="3" max="3"/>
    <col width="20" customWidth="1" min="4" max="4"/>
    <col width="20" customWidth="1" min="5" max="5"/>
    <col width="15" customWidth="1" min="6" max="6"/>
    <col width="20" customWidth="1" min="7" max="7"/>
  </cols>
  <sheetData>
    <row r="1" ht="10" customHeight="1"/>
    <row r="2" ht="32" customHeight="1">
      <c r="A2" s="1" t="inlineStr">
        <is>
          <t>KILIMA Holdings — Documents Standardisés Mutualisés</t>
        </is>
      </c>
    </row>
    <row r="3" ht="18" customHeight="1">
      <c r="A3" s="2" t="inlineStr">
        <is>
          <t>9 documents communs à toutes les entités du groupe — Version 1.0 — Juin 2025</t>
        </is>
      </c>
    </row>
    <row r="4" ht="10" customHeight="1"/>
    <row r="5" ht="22" customHeight="1">
      <c r="A5" s="3" t="inlineStr">
        <is>
          <t>Réf.</t>
        </is>
      </c>
      <c r="B5" s="3" t="inlineStr">
        <is>
          <t>Code</t>
        </is>
      </c>
      <c r="C5" s="3" t="inlineStr">
        <is>
          <t>Intitulé</t>
        </is>
      </c>
      <c r="D5" s="3" t="inlineStr">
        <is>
          <t>Entités</t>
        </is>
      </c>
      <c r="E5" s="3" t="inlineStr">
        <is>
          <t>Fréquence</t>
        </is>
      </c>
      <c r="F5" s="3" t="inlineStr">
        <is>
          <t>Tenu par</t>
        </is>
      </c>
      <c r="G5" s="3" t="inlineStr">
        <is>
          <t>Transmis à</t>
        </is>
      </c>
    </row>
    <row r="6" ht="24" customHeight="1">
      <c r="A6" s="4" t="inlineStr">
        <is>
          <t>1</t>
        </is>
      </c>
      <c r="B6" s="4" t="inlineStr">
        <is>
          <t>DOC-G-01</t>
        </is>
      </c>
      <c r="C6" s="5" t="inlineStr">
        <is>
          <t>Requisition Form</t>
        </is>
      </c>
      <c r="D6" s="5" t="inlineStr">
        <is>
          <t>Toutes entités</t>
        </is>
      </c>
      <c r="E6" s="5" t="inlineStr">
        <is>
          <t>Par dépense</t>
        </is>
      </c>
      <c r="F6" s="5" t="inlineStr">
        <is>
          <t>Initiateur de la dépense</t>
        </is>
      </c>
      <c r="G6" s="5" t="inlineStr">
        <is>
          <t>DG Arsène + Admin Huguette</t>
        </is>
      </c>
    </row>
    <row r="7" ht="24" customHeight="1">
      <c r="A7" s="6" t="inlineStr">
        <is>
          <t>2</t>
        </is>
      </c>
      <c r="B7" s="6" t="inlineStr">
        <is>
          <t>DOC-G-02</t>
        </is>
      </c>
      <c r="C7" s="7" t="inlineStr">
        <is>
          <t>Ordre de Dépense</t>
        </is>
      </c>
      <c r="D7" s="7" t="inlineStr">
        <is>
          <t>Toutes entités</t>
        </is>
      </c>
      <c r="E7" s="7" t="inlineStr">
        <is>
          <t>Par dépense</t>
        </is>
      </c>
      <c r="F7" s="7" t="inlineStr">
        <is>
          <t>DFI</t>
        </is>
      </c>
      <c r="G7" s="7" t="inlineStr">
        <is>
          <t>Caissière Eliane</t>
        </is>
      </c>
    </row>
    <row r="8" ht="24" customHeight="1">
      <c r="A8" s="4" t="inlineStr">
        <is>
          <t>3</t>
        </is>
      </c>
      <c r="B8" s="4" t="inlineStr">
        <is>
          <t>DOC-G-03</t>
        </is>
      </c>
      <c r="C8" s="5" t="inlineStr">
        <is>
          <t>Bon de Réception de Fonds</t>
        </is>
      </c>
      <c r="D8" s="5" t="inlineStr">
        <is>
          <t>Toutes entités</t>
        </is>
      </c>
      <c r="E8" s="5" t="inlineStr">
        <is>
          <t>Par dépense</t>
        </is>
      </c>
      <c r="F8" s="5" t="inlineStr">
        <is>
          <t>Caissière Eliane</t>
        </is>
      </c>
      <c r="G8" s="5" t="inlineStr">
        <is>
          <t>Comptable + DFI</t>
        </is>
      </c>
    </row>
    <row r="9" ht="24" customHeight="1">
      <c r="A9" s="6" t="inlineStr">
        <is>
          <t>4</t>
        </is>
      </c>
      <c r="B9" s="6" t="inlineStr">
        <is>
          <t>DOC-G-04</t>
        </is>
      </c>
      <c r="C9" s="7" t="inlineStr">
        <is>
          <t>Fiche de Justification d'Avance</t>
        </is>
      </c>
      <c r="D9" s="7" t="inlineStr">
        <is>
          <t>Toutes entités</t>
        </is>
      </c>
      <c r="E9" s="7" t="inlineStr">
        <is>
          <t>&lt; 24h après dépense</t>
        </is>
      </c>
      <c r="F9" s="7" t="inlineStr">
        <is>
          <t>Bénéficiaire</t>
        </is>
      </c>
      <c r="G9" s="7" t="inlineStr">
        <is>
          <t>Caissière → Comptable</t>
        </is>
      </c>
    </row>
    <row r="10" ht="24" customHeight="1">
      <c r="A10" s="4" t="inlineStr">
        <is>
          <t>5</t>
        </is>
      </c>
      <c r="B10" s="4" t="inlineStr">
        <is>
          <t>DOC-G-05</t>
        </is>
      </c>
      <c r="C10" s="5" t="inlineStr">
        <is>
          <t>Journal de Caisse Journalier</t>
        </is>
      </c>
      <c r="D10" s="5" t="inlineStr">
        <is>
          <t>Toutes entités</t>
        </is>
      </c>
      <c r="E10" s="5" t="inlineStr">
        <is>
          <t>Quotidien</t>
        </is>
      </c>
      <c r="F10" s="5" t="inlineStr">
        <is>
          <t>Caissier(ère)</t>
        </is>
      </c>
      <c r="G10" s="5" t="inlineStr">
        <is>
          <t>Comptable + DFI (soir)</t>
        </is>
      </c>
    </row>
    <row r="11" ht="24" customHeight="1">
      <c r="A11" s="6" t="inlineStr">
        <is>
          <t>6</t>
        </is>
      </c>
      <c r="B11" s="6" t="inlineStr">
        <is>
          <t>DOC-G-06</t>
        </is>
      </c>
      <c r="C11" s="7" t="inlineStr">
        <is>
          <t>Bordereau de Cession de Fonds</t>
        </is>
      </c>
      <c r="D11" s="7" t="inlineStr">
        <is>
          <t>KAKO Sarl / GHR / autres</t>
        </is>
      </c>
      <c r="E11" s="7" t="inlineStr">
        <is>
          <t>Quotidien (soir)</t>
        </is>
      </c>
      <c r="F11" s="7" t="inlineStr">
        <is>
          <t>Commis caisse / Agent GHR</t>
        </is>
      </c>
      <c r="G11" s="7" t="inlineStr">
        <is>
          <t>Caissière Eliane</t>
        </is>
      </c>
    </row>
    <row r="12" ht="24" customHeight="1">
      <c r="A12" s="4" t="inlineStr">
        <is>
          <t>7</t>
        </is>
      </c>
      <c r="B12" s="4" t="inlineStr">
        <is>
          <t>DOC-G-07</t>
        </is>
      </c>
      <c r="C12" s="5" t="inlineStr">
        <is>
          <t>Tableau de Suivi des Créances</t>
        </is>
      </c>
      <c r="D12" s="5" t="inlineStr">
        <is>
          <t>Entités qui facturent</t>
        </is>
      </c>
      <c r="E12" s="5" t="inlineStr">
        <is>
          <t>Continu + hebdo</t>
        </is>
      </c>
      <c r="F12" s="5" t="inlineStr">
        <is>
          <t>Comptable</t>
        </is>
      </c>
      <c r="G12" s="5" t="inlineStr">
        <is>
          <t>DFI (rapport hebdo)</t>
        </is>
      </c>
    </row>
    <row r="13" ht="24" customHeight="1">
      <c r="A13" s="6" t="inlineStr">
        <is>
          <t>8</t>
        </is>
      </c>
      <c r="B13" s="6" t="inlineStr">
        <is>
          <t>DOC-G-08</t>
        </is>
      </c>
      <c r="C13" s="7" t="inlineStr">
        <is>
          <t>Fiche de Clôture Caisse</t>
        </is>
      </c>
      <c r="D13" s="7" t="inlineStr">
        <is>
          <t>Toutes entités</t>
        </is>
      </c>
      <c r="E13" s="7" t="inlineStr">
        <is>
          <t>Quotidien (fin journée)</t>
        </is>
      </c>
      <c r="F13" s="7" t="inlineStr">
        <is>
          <t>Caissier(ère)</t>
        </is>
      </c>
      <c r="G13" s="7" t="inlineStr">
        <is>
          <t>Comptable (contrôle hebdo)</t>
        </is>
      </c>
    </row>
    <row r="14" ht="24" customHeight="1">
      <c r="A14" s="4" t="inlineStr">
        <is>
          <t>9</t>
        </is>
      </c>
      <c r="B14" s="4" t="inlineStr">
        <is>
          <t>DOC-G-09</t>
        </is>
      </c>
      <c r="C14" s="5" t="inlineStr">
        <is>
          <t>Tableau Réconciliation Mensuelle</t>
        </is>
      </c>
      <c r="D14" s="5" t="inlineStr">
        <is>
          <t>Toutes entités</t>
        </is>
      </c>
      <c r="E14" s="5" t="inlineStr">
        <is>
          <t>Mensuel (avant le 5)</t>
        </is>
      </c>
      <c r="F14" s="5" t="inlineStr">
        <is>
          <t>Comptable</t>
        </is>
      </c>
      <c r="G14" s="5" t="inlineStr">
        <is>
          <t>DFI + DG</t>
        </is>
      </c>
    </row>
    <row r="16" ht="10" customHeight="1"/>
    <row r="17" ht="14" customHeight="1">
      <c r="A17" s="8" t="inlineStr">
        <is>
          <t>Zones en jaune = à remplir par l'agent  |  Zones en violet = labels fixes  |  Formules en noir = calculées automatiquement</t>
        </is>
      </c>
    </row>
  </sheetData>
  <mergeCells count="3">
    <mergeCell ref="A3:G3"/>
    <mergeCell ref="A2:G2"/>
    <mergeCell ref="A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L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10" customWidth="1" min="4" max="4"/>
    <col width="22" customWidth="1" min="5" max="5"/>
    <col width="8" customWidth="1" min="6" max="6"/>
    <col width="8" customWidth="1" min="7" max="7"/>
    <col width="10" customWidth="1" min="8" max="8"/>
    <col width="8" customWidth="1" min="9" max="9"/>
    <col width="8" customWidth="1" min="10" max="10"/>
    <col width="10" customWidth="1" min="11" max="11"/>
    <col width="10" customWidth="1" min="12" max="12"/>
  </cols>
  <sheetData>
    <row r="1" ht="12" customHeight="1"/>
    <row r="2" ht="28" customHeight="1">
      <c r="A2" s="9" t="inlineStr">
        <is>
          <t>KILIMA Holdings</t>
        </is>
      </c>
      <c r="I2" s="10" t="inlineStr">
        <is>
          <t>DOC-G-01</t>
        </is>
      </c>
    </row>
    <row r="3" ht="18" customHeight="1">
      <c r="A3" s="11" t="inlineStr">
        <is>
          <t>REQUISITION FORM</t>
        </is>
      </c>
    </row>
    <row r="4" ht="20" customHeight="1">
      <c r="A4" s="12" t="inlineStr">
        <is>
          <t>Demande de sortie de fonds — Toutes entités KILIMA Holdings</t>
        </is>
      </c>
    </row>
    <row r="5" ht="8" customHeight="1"/>
    <row r="6" ht="18" customHeight="1">
      <c r="A6" s="13" t="inlineStr">
        <is>
          <t>Informations générales</t>
        </is>
      </c>
    </row>
    <row r="7" ht="20" customHeight="1">
      <c r="A7" s="14" t="inlineStr">
        <is>
          <t>N° Réquisition</t>
        </is>
      </c>
      <c r="E7" s="15" t="inlineStr"/>
    </row>
    <row r="8" ht="20" customHeight="1">
      <c r="A8" s="14" t="inlineStr">
        <is>
          <t>Date</t>
        </is>
      </c>
      <c r="E8" s="15" t="inlineStr"/>
    </row>
    <row r="9" ht="20" customHeight="1">
      <c r="A9" s="14" t="inlineStr">
        <is>
          <t>Entité concernée</t>
        </is>
      </c>
      <c r="E9" s="15" t="inlineStr"/>
    </row>
    <row r="10" ht="20" customHeight="1">
      <c r="A10" s="14" t="inlineStr">
        <is>
          <t>Département / Service</t>
        </is>
      </c>
      <c r="E10" s="15" t="inlineStr"/>
    </row>
    <row r="11" ht="20" customHeight="1">
      <c r="A11" s="14" t="inlineStr">
        <is>
          <t>Initié par</t>
        </is>
      </c>
      <c r="E11" s="15" t="inlineStr"/>
    </row>
    <row r="12" ht="20" customHeight="1">
      <c r="A12" s="14" t="inlineStr">
        <is>
          <t>Priorité  (Normal / Urgent / Top Urgent)</t>
        </is>
      </c>
      <c r="E12" s="15" t="inlineStr"/>
    </row>
    <row r="14" ht="18" customHeight="1">
      <c r="A14" s="13" t="inlineStr">
        <is>
          <t>Détail de la demande</t>
        </is>
      </c>
    </row>
    <row r="15" ht="22" customHeight="1">
      <c r="A15" s="16" t="inlineStr">
        <is>
          <t>Imputation</t>
        </is>
      </c>
      <c r="B15" s="16" t="inlineStr">
        <is>
          <t>Code article</t>
        </is>
      </c>
      <c r="C15" s="16" t="inlineStr">
        <is>
          <t>Description</t>
        </is>
      </c>
      <c r="E15" s="16" t="inlineStr">
        <is>
          <t>Unité</t>
        </is>
      </c>
      <c r="F15" s="16" t="inlineStr">
        <is>
          <t>Qté</t>
        </is>
      </c>
      <c r="G15" s="16" t="inlineStr">
        <is>
          <t>Prix unit.</t>
        </is>
      </c>
      <c r="H15" s="16" t="inlineStr">
        <is>
          <t>Total</t>
        </is>
      </c>
      <c r="J15" s="16" t="inlineStr">
        <is>
          <t>Remarques / Spéc.</t>
        </is>
      </c>
    </row>
    <row r="16" ht="18" customHeight="1">
      <c r="A16" s="5" t="inlineStr"/>
      <c r="B16" s="5" t="inlineStr"/>
      <c r="C16" s="5" t="inlineStr"/>
      <c r="E16" s="5" t="inlineStr"/>
      <c r="F16" s="5" t="inlineStr"/>
      <c r="G16" s="5" t="inlineStr"/>
      <c r="H16" s="5" t="inlineStr"/>
      <c r="J16" s="5" t="inlineStr"/>
    </row>
    <row r="17" ht="18" customHeight="1">
      <c r="A17" s="17" t="inlineStr"/>
      <c r="B17" s="17" t="inlineStr"/>
      <c r="C17" s="17" t="inlineStr"/>
      <c r="E17" s="17" t="inlineStr"/>
      <c r="F17" s="17" t="inlineStr"/>
      <c r="G17" s="17" t="inlineStr"/>
      <c r="H17" s="17" t="inlineStr"/>
      <c r="J17" s="17" t="inlineStr"/>
    </row>
    <row r="18" ht="18" customHeight="1">
      <c r="A18" s="5" t="inlineStr"/>
      <c r="B18" s="5" t="inlineStr"/>
      <c r="C18" s="5" t="inlineStr"/>
      <c r="E18" s="5" t="inlineStr"/>
      <c r="F18" s="5" t="inlineStr"/>
      <c r="G18" s="5" t="inlineStr"/>
      <c r="H18" s="5" t="inlineStr"/>
      <c r="J18" s="5" t="inlineStr"/>
    </row>
    <row r="19" ht="18" customHeight="1">
      <c r="A19" s="17" t="inlineStr"/>
      <c r="B19" s="17" t="inlineStr"/>
      <c r="C19" s="17" t="inlineStr"/>
      <c r="E19" s="17" t="inlineStr"/>
      <c r="F19" s="17" t="inlineStr"/>
      <c r="G19" s="17" t="inlineStr"/>
      <c r="H19" s="17" t="inlineStr"/>
      <c r="J19" s="17" t="inlineStr"/>
    </row>
    <row r="20" ht="18" customHeight="1">
      <c r="A20" s="5" t="inlineStr"/>
      <c r="B20" s="5" t="inlineStr"/>
      <c r="C20" s="5" t="inlineStr"/>
      <c r="E20" s="5" t="inlineStr"/>
      <c r="F20" s="5" t="inlineStr"/>
      <c r="G20" s="5" t="inlineStr"/>
      <c r="H20" s="5" t="inlineStr"/>
      <c r="J20" s="5" t="inlineStr"/>
    </row>
    <row r="21" ht="18" customHeight="1">
      <c r="A21" s="17" t="inlineStr"/>
      <c r="B21" s="17" t="inlineStr"/>
      <c r="C21" s="17" t="inlineStr"/>
      <c r="E21" s="17" t="inlineStr"/>
      <c r="F21" s="17" t="inlineStr"/>
      <c r="G21" s="17" t="inlineStr"/>
      <c r="H21" s="17" t="inlineStr"/>
      <c r="J21" s="17" t="inlineStr"/>
    </row>
    <row r="22" ht="18" customHeight="1">
      <c r="A22" s="5" t="inlineStr"/>
      <c r="B22" s="5" t="inlineStr"/>
      <c r="C22" s="5" t="inlineStr"/>
      <c r="E22" s="5" t="inlineStr"/>
      <c r="F22" s="5" t="inlineStr"/>
      <c r="G22" s="5" t="inlineStr"/>
      <c r="H22" s="5" t="inlineStr"/>
      <c r="J22" s="5" t="inlineStr"/>
    </row>
    <row r="23" ht="18" customHeight="1">
      <c r="A23" s="17" t="inlineStr"/>
      <c r="B23" s="17" t="inlineStr"/>
      <c r="C23" s="17" t="inlineStr"/>
      <c r="E23" s="17" t="inlineStr"/>
      <c r="F23" s="17" t="inlineStr"/>
      <c r="G23" s="17" t="inlineStr"/>
      <c r="H23" s="17" t="inlineStr"/>
      <c r="J23" s="17" t="inlineStr"/>
    </row>
    <row r="24" ht="18" customHeight="1">
      <c r="A24" s="5" t="inlineStr"/>
      <c r="B24" s="5" t="inlineStr"/>
      <c r="C24" s="5" t="inlineStr"/>
      <c r="E24" s="5" t="inlineStr"/>
      <c r="F24" s="5" t="inlineStr"/>
      <c r="G24" s="5" t="inlineStr"/>
      <c r="H24" s="5" t="inlineStr"/>
      <c r="J24" s="5" t="inlineStr"/>
    </row>
    <row r="25" ht="18" customHeight="1">
      <c r="A25" s="17" t="inlineStr"/>
      <c r="B25" s="17" t="inlineStr"/>
      <c r="C25" s="17" t="inlineStr"/>
      <c r="E25" s="17" t="inlineStr"/>
      <c r="F25" s="17" t="inlineStr"/>
      <c r="G25" s="17" t="inlineStr"/>
      <c r="H25" s="17" t="inlineStr"/>
      <c r="J25" s="17" t="inlineStr"/>
    </row>
    <row r="26" ht="18" customHeight="1">
      <c r="A26" s="5" t="inlineStr"/>
      <c r="B26" s="5" t="inlineStr"/>
      <c r="C26" s="5" t="inlineStr"/>
      <c r="E26" s="5" t="inlineStr"/>
      <c r="F26" s="5" t="inlineStr"/>
      <c r="G26" s="5" t="inlineStr"/>
      <c r="H26" s="5" t="inlineStr"/>
      <c r="J26" s="5" t="inlineStr"/>
    </row>
    <row r="27" ht="18" customHeight="1">
      <c r="A27" s="17" t="inlineStr"/>
      <c r="B27" s="17" t="inlineStr"/>
      <c r="C27" s="17" t="inlineStr"/>
      <c r="E27" s="17" t="inlineStr"/>
      <c r="F27" s="17" t="inlineStr"/>
      <c r="G27" s="17" t="inlineStr"/>
      <c r="H27" s="17" t="inlineStr"/>
      <c r="J27" s="17" t="inlineStr"/>
    </row>
    <row r="28" ht="20" customHeight="1">
      <c r="A28" s="18" t="inlineStr">
        <is>
          <t>TOTAL</t>
        </is>
      </c>
      <c r="H28" s="19" t="inlineStr"/>
      <c r="J28" s="20" t="inlineStr">
        <is>
          <t>USD / CDF</t>
        </is>
      </c>
    </row>
    <row r="30" ht="18" customHeight="1">
      <c r="A30" s="21" t="inlineStr">
        <is>
          <t>Fournisseurs suggérés</t>
        </is>
      </c>
    </row>
    <row r="31" ht="18" customHeight="1">
      <c r="A31" s="22" t="inlineStr">
        <is>
          <t xml:space="preserve">  1.</t>
        </is>
      </c>
      <c r="B31" s="15" t="inlineStr"/>
    </row>
    <row r="32" ht="18" customHeight="1">
      <c r="A32" s="22" t="inlineStr">
        <is>
          <t xml:space="preserve">  2.</t>
        </is>
      </c>
      <c r="B32" s="15" t="inlineStr"/>
    </row>
    <row r="33" ht="18" customHeight="1">
      <c r="A33" s="22" t="inlineStr">
        <is>
          <t xml:space="preserve">  3.</t>
        </is>
      </c>
      <c r="B33" s="15" t="inlineStr"/>
    </row>
    <row r="35" ht="18" customHeight="1">
      <c r="A35" s="23" t="inlineStr">
        <is>
          <t>Note de validation</t>
        </is>
      </c>
    </row>
    <row r="36" ht="60" customHeight="1">
      <c r="A36" s="24" t="inlineStr"/>
    </row>
    <row r="38" ht="18" customHeight="1">
      <c r="A38" s="25" t="inlineStr">
        <is>
          <t>Initié par</t>
        </is>
      </c>
      <c r="E38" s="25" t="inlineStr">
        <is>
          <t>Validé par (DG / DT)</t>
        </is>
      </c>
      <c r="I38" s="25" t="inlineStr">
        <is>
          <t>Approuvé (sortie de fonds)</t>
        </is>
      </c>
    </row>
    <row r="39" ht="50" customHeight="1">
      <c r="A39" s="26" t="inlineStr"/>
      <c r="E39" s="26" t="inlineStr"/>
      <c r="I39" s="26" t="inlineStr"/>
    </row>
    <row r="41" ht="14" customHeight="1">
      <c r="A41" s="27" t="inlineStr">
        <is>
          <t>DOC-G-01 — Requisition Form — KILIMA Holdings — Document interne confidentiel</t>
        </is>
      </c>
    </row>
  </sheetData>
  <mergeCells count="76">
    <mergeCell ref="E12:L12"/>
    <mergeCell ref="A8:D8"/>
    <mergeCell ref="H20:I20"/>
    <mergeCell ref="C24:D24"/>
    <mergeCell ref="I39:L39"/>
    <mergeCell ref="C15:D15"/>
    <mergeCell ref="A41:L41"/>
    <mergeCell ref="A38:D38"/>
    <mergeCell ref="J19:K19"/>
    <mergeCell ref="I38:L38"/>
    <mergeCell ref="A10:D10"/>
    <mergeCell ref="A3:L3"/>
    <mergeCell ref="C26:D26"/>
    <mergeCell ref="B31:L31"/>
    <mergeCell ref="E8:L8"/>
    <mergeCell ref="A28:G28"/>
    <mergeCell ref="C20:D20"/>
    <mergeCell ref="H25:I25"/>
    <mergeCell ref="A9:D9"/>
    <mergeCell ref="H21:I21"/>
    <mergeCell ref="A31"/>
    <mergeCell ref="C16:D16"/>
    <mergeCell ref="J23:K23"/>
    <mergeCell ref="J24:K24"/>
    <mergeCell ref="C25:D25"/>
    <mergeCell ref="J15:K15"/>
    <mergeCell ref="A32"/>
    <mergeCell ref="A39:D39"/>
    <mergeCell ref="E10:L10"/>
    <mergeCell ref="A14:L14"/>
    <mergeCell ref="C22:D22"/>
    <mergeCell ref="J27:K27"/>
    <mergeCell ref="A11:D11"/>
    <mergeCell ref="I2:L2"/>
    <mergeCell ref="A33"/>
    <mergeCell ref="A35:L35"/>
    <mergeCell ref="A4:L4"/>
    <mergeCell ref="H17:I17"/>
    <mergeCell ref="J26:K26"/>
    <mergeCell ref="E9:L9"/>
    <mergeCell ref="J20:K20"/>
    <mergeCell ref="C21:D21"/>
    <mergeCell ref="E39:H39"/>
    <mergeCell ref="H16:I16"/>
    <mergeCell ref="J16:K16"/>
    <mergeCell ref="A2:H2"/>
    <mergeCell ref="C27:D27"/>
    <mergeCell ref="E11:L11"/>
    <mergeCell ref="J25:K25"/>
    <mergeCell ref="E38:H38"/>
    <mergeCell ref="A7:D7"/>
    <mergeCell ref="H19:I19"/>
    <mergeCell ref="H22:I22"/>
    <mergeCell ref="H28:I28"/>
    <mergeCell ref="J22:K22"/>
    <mergeCell ref="C17:D17"/>
    <mergeCell ref="C23:D23"/>
    <mergeCell ref="H27:I27"/>
    <mergeCell ref="A30:L30"/>
    <mergeCell ref="J21:K21"/>
    <mergeCell ref="J28:L28"/>
    <mergeCell ref="E7:L7"/>
    <mergeCell ref="A12:D12"/>
    <mergeCell ref="H24:I24"/>
    <mergeCell ref="B33:L33"/>
    <mergeCell ref="H15:I15"/>
    <mergeCell ref="H18:I18"/>
    <mergeCell ref="C19:D19"/>
    <mergeCell ref="J18:K18"/>
    <mergeCell ref="A36:L36"/>
    <mergeCell ref="A6:L6"/>
    <mergeCell ref="H23:I23"/>
    <mergeCell ref="C18:D18"/>
    <mergeCell ref="B32:L32"/>
    <mergeCell ref="J17:K17"/>
    <mergeCell ref="H26:I26"/>
  </mergeCells>
  <pageMargins left="0.5" right="0.5" top="0.6" bottom="0.6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L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10" customWidth="1" min="4" max="4"/>
    <col width="18" customWidth="1" min="5" max="5"/>
    <col width="8" customWidth="1" min="6" max="6"/>
    <col width="8" customWidth="1" min="7" max="7"/>
    <col width="10" customWidth="1" min="8" max="8"/>
    <col width="8" customWidth="1" min="9" max="9"/>
    <col width="8" customWidth="1" min="10" max="10"/>
    <col width="10" customWidth="1" min="11" max="11"/>
    <col width="10" customWidth="1" min="12" max="12"/>
  </cols>
  <sheetData>
    <row r="1" ht="12" customHeight="1"/>
    <row r="2" ht="28" customHeight="1">
      <c r="A2" s="9" t="inlineStr">
        <is>
          <t>KILIMA Holdings</t>
        </is>
      </c>
      <c r="I2" s="10" t="inlineStr">
        <is>
          <t>DOC-G-02</t>
        </is>
      </c>
    </row>
    <row r="3" ht="18" customHeight="1">
      <c r="A3" s="28" t="inlineStr">
        <is>
          <t>ORDRE DE DÉPENSE</t>
        </is>
      </c>
    </row>
    <row r="4" ht="20" customHeight="1">
      <c r="A4" s="12" t="inlineStr">
        <is>
          <t>Autorisation de décaissement — Toutes entités KILIMA Holdings</t>
        </is>
      </c>
    </row>
    <row r="5" ht="8" customHeight="1"/>
    <row r="6" ht="18" customHeight="1">
      <c r="A6" s="29" t="inlineStr">
        <is>
          <t>Informations générales</t>
        </is>
      </c>
    </row>
    <row r="7" ht="20" customHeight="1">
      <c r="A7" s="30" t="inlineStr">
        <is>
          <t>N° Ordre de Dépense</t>
        </is>
      </c>
      <c r="E7" s="15" t="inlineStr"/>
    </row>
    <row r="8" ht="20" customHeight="1">
      <c r="A8" s="30" t="inlineStr">
        <is>
          <t>Date</t>
        </is>
      </c>
      <c r="E8" s="15" t="inlineStr"/>
    </row>
    <row r="9" ht="20" customHeight="1">
      <c r="A9" s="30" t="inlineStr">
        <is>
          <t>Entité concernée</t>
        </is>
      </c>
      <c r="E9" s="15" t="inlineStr"/>
    </row>
    <row r="10" ht="20" customHeight="1">
      <c r="A10" s="30" t="inlineStr">
        <is>
          <t>Réf. Réquisition (DOC-G-01)</t>
        </is>
      </c>
      <c r="E10" s="15" t="inlineStr"/>
    </row>
    <row r="11" ht="20" customHeight="1">
      <c r="A11" s="30" t="inlineStr">
        <is>
          <t>Bénéficiaire du décaissement</t>
        </is>
      </c>
      <c r="E11" s="15" t="inlineStr"/>
    </row>
    <row r="13" ht="18" customHeight="1">
      <c r="A13" s="29" t="inlineStr">
        <is>
          <t>Détail du décaissement</t>
        </is>
      </c>
    </row>
    <row r="14" ht="20" customHeight="1">
      <c r="A14" s="31" t="inlineStr">
        <is>
          <t>Compte d'imputation</t>
        </is>
      </c>
      <c r="E14" s="31" t="inlineStr">
        <is>
          <t>Montant USD</t>
        </is>
      </c>
      <c r="H14" s="31" t="inlineStr">
        <is>
          <t>Montant CDF</t>
        </is>
      </c>
      <c r="K14" s="31" t="inlineStr">
        <is>
          <t>Observations</t>
        </is>
      </c>
    </row>
    <row r="15" ht="18" customHeight="1">
      <c r="A15" s="5" t="inlineStr"/>
      <c r="E15" s="5" t="inlineStr"/>
      <c r="H15" s="5" t="inlineStr"/>
      <c r="K15" s="5" t="inlineStr"/>
    </row>
    <row r="16" ht="18" customHeight="1">
      <c r="A16" s="32" t="inlineStr"/>
      <c r="E16" s="32" t="inlineStr"/>
      <c r="H16" s="32" t="inlineStr"/>
      <c r="K16" s="32" t="inlineStr"/>
    </row>
    <row r="17" ht="18" customHeight="1">
      <c r="A17" s="5" t="inlineStr"/>
      <c r="E17" s="5" t="inlineStr"/>
      <c r="H17" s="5" t="inlineStr"/>
      <c r="K17" s="5" t="inlineStr"/>
    </row>
    <row r="18" ht="18" customHeight="1">
      <c r="A18" s="32" t="inlineStr"/>
      <c r="E18" s="32" t="inlineStr"/>
      <c r="H18" s="32" t="inlineStr"/>
      <c r="K18" s="32" t="inlineStr"/>
    </row>
    <row r="19" ht="18" customHeight="1">
      <c r="A19" s="5" t="inlineStr"/>
      <c r="E19" s="5" t="inlineStr"/>
      <c r="H19" s="5" t="inlineStr"/>
      <c r="K19" s="5" t="inlineStr"/>
    </row>
    <row r="21" ht="18" customHeight="1">
      <c r="A21" s="29" t="inlineStr">
        <is>
          <t>Montant total autorisé</t>
        </is>
      </c>
    </row>
    <row r="22" ht="24" customHeight="1">
      <c r="A22" s="33" t="inlineStr">
        <is>
          <t>TOTAL AUTORISÉ</t>
        </is>
      </c>
      <c r="E22" s="34" t="inlineStr"/>
      <c r="H22" s="34" t="inlineStr"/>
      <c r="K22" s="20" t="inlineStr">
        <is>
          <t>USD / CDF</t>
        </is>
      </c>
    </row>
    <row r="24" ht="18" customHeight="1">
      <c r="A24" s="21" t="inlineStr">
        <is>
          <t>Montant en lettres</t>
        </is>
      </c>
    </row>
    <row r="25" ht="30" customHeight="1">
      <c r="A25" s="35" t="inlineStr"/>
    </row>
    <row r="27" ht="18" customHeight="1">
      <c r="A27" s="21" t="inlineStr">
        <is>
          <t>Motif de la dépense</t>
        </is>
      </c>
    </row>
    <row r="28" ht="50" customHeight="1">
      <c r="A28" s="35" t="inlineStr"/>
    </row>
    <row r="30" ht="14" customHeight="1">
      <c r="A30" s="36" t="inlineStr">
        <is>
          <t>Rappel paliers : ≤ 1 000 USD → DFI seul  |  1 001–10 000 USD → DFI + DG + Admin + Président  |  &gt; 10 000 USD → Président seul</t>
        </is>
      </c>
    </row>
    <row r="32" ht="18" customHeight="1">
      <c r="A32" s="25" t="inlineStr">
        <is>
          <t>Caissier / Eliane MUSOLO</t>
        </is>
      </c>
      <c r="E32" s="25" t="inlineStr">
        <is>
          <t>Signature d'autorisation (DFI)</t>
        </is>
      </c>
      <c r="I32" s="25" t="inlineStr">
        <is>
          <t>Signature du bénéficiaire</t>
        </is>
      </c>
    </row>
    <row r="33" ht="50" customHeight="1">
      <c r="A33" s="26" t="inlineStr"/>
      <c r="E33" s="26" t="inlineStr"/>
      <c r="I33" s="26" t="inlineStr"/>
    </row>
    <row r="35" ht="14" customHeight="1">
      <c r="A35" s="27" t="inlineStr">
        <is>
          <t>DOC-G-02 — Ordre de Dépense — KILIMA Holdings — Document interne confidentiel</t>
        </is>
      </c>
    </row>
  </sheetData>
  <mergeCells count="57">
    <mergeCell ref="K16:L16"/>
    <mergeCell ref="A17:D17"/>
    <mergeCell ref="A8:D8"/>
    <mergeCell ref="E19:G19"/>
    <mergeCell ref="A25:L25"/>
    <mergeCell ref="A22:D22"/>
    <mergeCell ref="K15:L15"/>
    <mergeCell ref="A19:D19"/>
    <mergeCell ref="A27:L27"/>
    <mergeCell ref="H17:J17"/>
    <mergeCell ref="A10:D10"/>
    <mergeCell ref="A3:L3"/>
    <mergeCell ref="E15:G15"/>
    <mergeCell ref="A21:L21"/>
    <mergeCell ref="E8:L8"/>
    <mergeCell ref="E32:H32"/>
    <mergeCell ref="H16:J16"/>
    <mergeCell ref="A9:D9"/>
    <mergeCell ref="H22:J22"/>
    <mergeCell ref="H19:J19"/>
    <mergeCell ref="E10:L10"/>
    <mergeCell ref="A15:D15"/>
    <mergeCell ref="A11:D11"/>
    <mergeCell ref="I2:L2"/>
    <mergeCell ref="K22:L22"/>
    <mergeCell ref="E33:H33"/>
    <mergeCell ref="A35:L35"/>
    <mergeCell ref="A4:L4"/>
    <mergeCell ref="E16:G16"/>
    <mergeCell ref="H15:J15"/>
    <mergeCell ref="E9:L9"/>
    <mergeCell ref="E22:G22"/>
    <mergeCell ref="H18:J18"/>
    <mergeCell ref="H14:J14"/>
    <mergeCell ref="A2:H2"/>
    <mergeCell ref="A28:L28"/>
    <mergeCell ref="E11:L11"/>
    <mergeCell ref="A13:L13"/>
    <mergeCell ref="A7:D7"/>
    <mergeCell ref="E18:G18"/>
    <mergeCell ref="I32:L32"/>
    <mergeCell ref="A16:D16"/>
    <mergeCell ref="K14:L14"/>
    <mergeCell ref="K17:L17"/>
    <mergeCell ref="A24:L24"/>
    <mergeCell ref="A30:L30"/>
    <mergeCell ref="A18:D18"/>
    <mergeCell ref="E14:G14"/>
    <mergeCell ref="E7:L7"/>
    <mergeCell ref="E17:G17"/>
    <mergeCell ref="A6:L6"/>
    <mergeCell ref="K19:L19"/>
    <mergeCell ref="A33:D33"/>
    <mergeCell ref="I33:L33"/>
    <mergeCell ref="K18:L18"/>
    <mergeCell ref="A32:D32"/>
    <mergeCell ref="A14:D14"/>
  </mergeCells>
  <pageMargins left="0.5" right="0.5" top="0.6" bottom="0.6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L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10" customWidth="1" min="4" max="4"/>
    <col width="18" customWidth="1" min="5" max="5"/>
    <col width="8" customWidth="1" min="6" max="6"/>
    <col width="8" customWidth="1" min="7" max="7"/>
    <col width="10" customWidth="1" min="8" max="8"/>
    <col width="8" customWidth="1" min="9" max="9"/>
    <col width="8" customWidth="1" min="10" max="10"/>
    <col width="10" customWidth="1" min="11" max="11"/>
    <col width="10" customWidth="1" min="12" max="12"/>
  </cols>
  <sheetData>
    <row r="1" ht="12" customHeight="1"/>
    <row r="2" ht="28" customHeight="1">
      <c r="A2" s="9" t="inlineStr">
        <is>
          <t>KILIMA Holdings</t>
        </is>
      </c>
      <c r="I2" s="10" t="inlineStr">
        <is>
          <t>DOC-G-03</t>
        </is>
      </c>
    </row>
    <row r="3" ht="18" customHeight="1">
      <c r="A3" s="37" t="inlineStr">
        <is>
          <t>BON DE RÉCEPTION DE FONDS</t>
        </is>
      </c>
    </row>
    <row r="4" ht="20" customHeight="1">
      <c r="A4" s="12" t="inlineStr">
        <is>
          <t>Accusé de réception du bénéficiaire — Toutes entités KILIMA Holdings</t>
        </is>
      </c>
    </row>
    <row r="5" ht="8" customHeight="1"/>
    <row r="6" ht="18" customHeight="1">
      <c r="A6" s="38" t="inlineStr">
        <is>
          <t>Informations générales</t>
        </is>
      </c>
    </row>
    <row r="7" ht="20" customHeight="1">
      <c r="A7" s="39" t="inlineStr">
        <is>
          <t>N° Bon de Réception</t>
        </is>
      </c>
      <c r="E7" s="15" t="inlineStr"/>
    </row>
    <row r="8" ht="20" customHeight="1">
      <c r="A8" s="39" t="inlineStr">
        <is>
          <t>Date</t>
        </is>
      </c>
      <c r="E8" s="15" t="inlineStr"/>
    </row>
    <row r="9" ht="20" customHeight="1">
      <c r="A9" s="39" t="inlineStr">
        <is>
          <t>Entité concernée</t>
        </is>
      </c>
      <c r="E9" s="15" t="inlineStr"/>
    </row>
    <row r="10" ht="20" customHeight="1">
      <c r="A10" s="39" t="inlineStr">
        <is>
          <t>Réf. Ordre de Dépense (DOC-G-02)</t>
        </is>
      </c>
      <c r="E10" s="15" t="inlineStr"/>
    </row>
    <row r="11" ht="20" customHeight="1">
      <c r="A11" s="39" t="inlineStr">
        <is>
          <t>Receveur (bénéficiaire)</t>
        </is>
      </c>
      <c r="E11" s="15" t="inlineStr"/>
    </row>
    <row r="12" ht="20" customHeight="1">
      <c r="A12" s="39" t="inlineStr">
        <is>
          <t>Déposant (caissier)</t>
        </is>
      </c>
      <c r="E12" s="15" t="inlineStr"/>
    </row>
    <row r="14" ht="18" customHeight="1">
      <c r="A14" s="38" t="inlineStr">
        <is>
          <t>Détail des fonds reçus</t>
        </is>
      </c>
    </row>
    <row r="15" ht="20" customHeight="1">
      <c r="A15" s="40" t="inlineStr">
        <is>
          <t>Montant USD</t>
        </is>
      </c>
      <c r="E15" s="40" t="inlineStr">
        <is>
          <t>Montant CDF</t>
        </is>
      </c>
      <c r="I15" s="40" t="inlineStr">
        <is>
          <t>Mode (Caisse/Banque)</t>
        </is>
      </c>
    </row>
    <row r="16" ht="28" customHeight="1">
      <c r="A16" s="41" t="inlineStr"/>
      <c r="E16" s="41" t="inlineStr"/>
      <c r="I16" s="41" t="inlineStr"/>
    </row>
    <row r="18" ht="18" customHeight="1">
      <c r="A18" s="21" t="inlineStr">
        <is>
          <t>Montant en lettres</t>
        </is>
      </c>
    </row>
    <row r="19" ht="35" customHeight="1">
      <c r="A19" s="35" t="inlineStr"/>
    </row>
    <row r="21" ht="18" customHeight="1">
      <c r="A21" s="21" t="inlineStr">
        <is>
          <t>Motif</t>
        </is>
      </c>
    </row>
    <row r="22" ht="45" customHeight="1">
      <c r="A22" s="35" t="inlineStr"/>
    </row>
    <row r="24" ht="18" customHeight="1">
      <c r="A24" s="25" t="inlineStr">
        <is>
          <t>Signature déposant
(Caissier)</t>
        </is>
      </c>
      <c r="E24" s="25" t="inlineStr">
        <is>
          <t>Signature d'autorisation
(DFI)</t>
        </is>
      </c>
      <c r="I24" s="25" t="inlineStr">
        <is>
          <t>Signature du bénéficiaire
(Receveur)</t>
        </is>
      </c>
    </row>
    <row r="25" ht="50" customHeight="1">
      <c r="A25" s="26" t="inlineStr"/>
      <c r="E25" s="26" t="inlineStr"/>
      <c r="I25" s="26" t="inlineStr"/>
    </row>
    <row r="27" ht="14" customHeight="1">
      <c r="A27" s="27" t="inlineStr">
        <is>
          <t>DOC-G-03 — Bon de Réception de Fonds — KILIMA Holdings — Document interne confidentiel</t>
        </is>
      </c>
    </row>
  </sheetData>
  <mergeCells count="35">
    <mergeCell ref="E12:L12"/>
    <mergeCell ref="A8:D8"/>
    <mergeCell ref="E16:H16"/>
    <mergeCell ref="E25:H25"/>
    <mergeCell ref="A18:L18"/>
    <mergeCell ref="A27:L27"/>
    <mergeCell ref="A10:D10"/>
    <mergeCell ref="A3:L3"/>
    <mergeCell ref="A21:L21"/>
    <mergeCell ref="E8:L8"/>
    <mergeCell ref="A9:D9"/>
    <mergeCell ref="E10:L10"/>
    <mergeCell ref="A14:L14"/>
    <mergeCell ref="A15:D15"/>
    <mergeCell ref="A22:L22"/>
    <mergeCell ref="I15:L15"/>
    <mergeCell ref="A24:D24"/>
    <mergeCell ref="A11:D11"/>
    <mergeCell ref="I2:L2"/>
    <mergeCell ref="E24:H24"/>
    <mergeCell ref="A4:L4"/>
    <mergeCell ref="E9:L9"/>
    <mergeCell ref="A19:L19"/>
    <mergeCell ref="A2:H2"/>
    <mergeCell ref="E11:L11"/>
    <mergeCell ref="A7:D7"/>
    <mergeCell ref="I16:L16"/>
    <mergeCell ref="A25:D25"/>
    <mergeCell ref="A16:D16"/>
    <mergeCell ref="I25:L25"/>
    <mergeCell ref="E7:L7"/>
    <mergeCell ref="A12:D12"/>
    <mergeCell ref="A6:L6"/>
    <mergeCell ref="E15:H15"/>
    <mergeCell ref="I24:L24"/>
  </mergeCells>
  <pageMargins left="0.5" right="0.5" top="0.6" bottom="0.6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L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10" customWidth="1" min="4" max="4"/>
    <col width="22" customWidth="1" min="5" max="5"/>
    <col width="8" customWidth="1" min="6" max="6"/>
    <col width="6" customWidth="1" min="7" max="7"/>
    <col width="8" customWidth="1" min="8" max="8"/>
    <col width="8" customWidth="1" min="9" max="9"/>
    <col width="8" customWidth="1" min="10" max="10"/>
    <col width="10" customWidth="1" min="11" max="11"/>
    <col width="10" customWidth="1" min="12" max="12"/>
  </cols>
  <sheetData>
    <row r="1" ht="12" customHeight="1"/>
    <row r="2" ht="28" customHeight="1">
      <c r="A2" s="9" t="inlineStr">
        <is>
          <t>KILIMA Holdings</t>
        </is>
      </c>
      <c r="I2" s="10" t="inlineStr">
        <is>
          <t>DOC-G-04</t>
        </is>
      </c>
    </row>
    <row r="3" ht="18" customHeight="1">
      <c r="A3" s="42" t="inlineStr">
        <is>
          <t>FICHE DE JUSTIFICATION D'AVANCE</t>
        </is>
      </c>
    </row>
    <row r="4" ht="20" customHeight="1">
      <c r="A4" s="12" t="inlineStr">
        <is>
          <t>Reddition de comptes après exécution de la dépense — Toutes entités</t>
        </is>
      </c>
    </row>
    <row r="5" ht="8" customHeight="1"/>
    <row r="6" ht="18" customHeight="1">
      <c r="A6" s="23" t="inlineStr">
        <is>
          <t>Informations générales</t>
        </is>
      </c>
    </row>
    <row r="7" ht="20" customHeight="1">
      <c r="A7" s="14" t="inlineStr">
        <is>
          <t>N° Fiche de Justification</t>
        </is>
      </c>
      <c r="E7" s="15" t="inlineStr"/>
    </row>
    <row r="8" ht="20" customHeight="1">
      <c r="A8" s="14" t="inlineStr">
        <is>
          <t>Date de justification</t>
        </is>
      </c>
      <c r="E8" s="15" t="inlineStr"/>
    </row>
    <row r="9" ht="20" customHeight="1">
      <c r="A9" s="14" t="inlineStr">
        <is>
          <t>Entité concernée</t>
        </is>
      </c>
      <c r="E9" s="15" t="inlineStr"/>
    </row>
    <row r="10" ht="20" customHeight="1">
      <c r="A10" s="14" t="inlineStr">
        <is>
          <t>Bénéficiaire de l'avance</t>
        </is>
      </c>
      <c r="E10" s="15" t="inlineStr"/>
    </row>
    <row r="11" ht="20" customHeight="1">
      <c r="A11" s="14" t="inlineStr">
        <is>
          <t>Réf. Ordre de Dépense (DOC-G-02)</t>
        </is>
      </c>
      <c r="E11" s="15" t="inlineStr"/>
    </row>
    <row r="12" ht="20" customHeight="1">
      <c r="A12" s="14" t="inlineStr">
        <is>
          <t>Montant de l'avance reçue (USD)</t>
        </is>
      </c>
      <c r="E12" s="15" t="inlineStr"/>
    </row>
    <row r="13" ht="20" customHeight="1">
      <c r="A13" s="14" t="inlineStr">
        <is>
          <t>Montant de l'avance reçue (CDF)</t>
        </is>
      </c>
      <c r="E13" s="15" t="inlineStr"/>
    </row>
    <row r="15" ht="18" customHeight="1">
      <c r="A15" s="23" t="inlineStr">
        <is>
          <t>Détail des dépenses justifiées</t>
        </is>
      </c>
    </row>
    <row r="16" ht="22" customHeight="1">
      <c r="A16" s="25" t="inlineStr">
        <is>
          <t>N°</t>
        </is>
      </c>
      <c r="B16" s="25" t="inlineStr">
        <is>
          <t>Date achat</t>
        </is>
      </c>
      <c r="C16" s="25" t="inlineStr">
        <is>
          <t>Nature de la dépense</t>
        </is>
      </c>
      <c r="F16" s="25" t="inlineStr">
        <is>
          <t>Fournisseur</t>
        </is>
      </c>
      <c r="H16" s="25" t="inlineStr">
        <is>
          <t>N° reçu / facture</t>
        </is>
      </c>
      <c r="J16" s="25" t="inlineStr">
        <is>
          <t>Montant USD</t>
        </is>
      </c>
      <c r="K16" s="25" t="inlineStr">
        <is>
          <t>Montant CDF</t>
        </is>
      </c>
      <c r="L16" s="25" t="inlineStr">
        <is>
          <t>Pièce jointe ?</t>
        </is>
      </c>
    </row>
    <row r="17" ht="18" customHeight="1">
      <c r="A17" s="5" t="inlineStr"/>
      <c r="B17" s="5" t="inlineStr"/>
      <c r="C17" s="5" t="inlineStr"/>
      <c r="F17" s="5" t="inlineStr"/>
      <c r="H17" s="5" t="inlineStr"/>
      <c r="J17" s="5" t="inlineStr"/>
      <c r="K17" s="5" t="inlineStr"/>
      <c r="L17" s="5" t="inlineStr"/>
    </row>
    <row r="18" ht="18" customHeight="1">
      <c r="A18" s="43" t="inlineStr"/>
      <c r="B18" s="43" t="inlineStr"/>
      <c r="C18" s="43" t="inlineStr"/>
      <c r="F18" s="43" t="inlineStr"/>
      <c r="H18" s="43" t="inlineStr"/>
      <c r="J18" s="43" t="inlineStr"/>
      <c r="K18" s="43" t="inlineStr"/>
      <c r="L18" s="43" t="inlineStr"/>
    </row>
    <row r="19" ht="18" customHeight="1">
      <c r="A19" s="5" t="inlineStr"/>
      <c r="B19" s="5" t="inlineStr"/>
      <c r="C19" s="5" t="inlineStr"/>
      <c r="F19" s="5" t="inlineStr"/>
      <c r="H19" s="5" t="inlineStr"/>
      <c r="J19" s="5" t="inlineStr"/>
      <c r="K19" s="5" t="inlineStr"/>
      <c r="L19" s="5" t="inlineStr"/>
    </row>
    <row r="20" ht="18" customHeight="1">
      <c r="A20" s="43" t="inlineStr"/>
      <c r="B20" s="43" t="inlineStr"/>
      <c r="C20" s="43" t="inlineStr"/>
      <c r="F20" s="43" t="inlineStr"/>
      <c r="H20" s="43" t="inlineStr"/>
      <c r="J20" s="43" t="inlineStr"/>
      <c r="K20" s="43" t="inlineStr"/>
      <c r="L20" s="43" t="inlineStr"/>
    </row>
    <row r="21" ht="18" customHeight="1">
      <c r="A21" s="5" t="inlineStr"/>
      <c r="B21" s="5" t="inlineStr"/>
      <c r="C21" s="5" t="inlineStr"/>
      <c r="F21" s="5" t="inlineStr"/>
      <c r="H21" s="5" t="inlineStr"/>
      <c r="J21" s="5" t="inlineStr"/>
      <c r="K21" s="5" t="inlineStr"/>
      <c r="L21" s="5" t="inlineStr"/>
    </row>
    <row r="22" ht="18" customHeight="1">
      <c r="A22" s="43" t="inlineStr"/>
      <c r="B22" s="43" t="inlineStr"/>
      <c r="C22" s="43" t="inlineStr"/>
      <c r="F22" s="43" t="inlineStr"/>
      <c r="H22" s="43" t="inlineStr"/>
      <c r="J22" s="43" t="inlineStr"/>
      <c r="K22" s="43" t="inlineStr"/>
      <c r="L22" s="43" t="inlineStr"/>
    </row>
    <row r="23" ht="18" customHeight="1">
      <c r="A23" s="5" t="inlineStr"/>
      <c r="B23" s="5" t="inlineStr"/>
      <c r="C23" s="5" t="inlineStr"/>
      <c r="F23" s="5" t="inlineStr"/>
      <c r="H23" s="5" t="inlineStr"/>
      <c r="J23" s="5" t="inlineStr"/>
      <c r="K23" s="5" t="inlineStr"/>
      <c r="L23" s="5" t="inlineStr"/>
    </row>
    <row r="24" ht="18" customHeight="1">
      <c r="A24" s="43" t="inlineStr"/>
      <c r="B24" s="43" t="inlineStr"/>
      <c r="C24" s="43" t="inlineStr"/>
      <c r="F24" s="43" t="inlineStr"/>
      <c r="H24" s="43" t="inlineStr"/>
      <c r="J24" s="43" t="inlineStr"/>
      <c r="K24" s="43" t="inlineStr"/>
      <c r="L24" s="43" t="inlineStr"/>
    </row>
    <row r="25" ht="18" customHeight="1">
      <c r="A25" s="5" t="inlineStr"/>
      <c r="B25" s="5" t="inlineStr"/>
      <c r="C25" s="5" t="inlineStr"/>
      <c r="F25" s="5" t="inlineStr"/>
      <c r="H25" s="5" t="inlineStr"/>
      <c r="J25" s="5" t="inlineStr"/>
      <c r="K25" s="5" t="inlineStr"/>
      <c r="L25" s="5" t="inlineStr"/>
    </row>
    <row r="26" ht="18" customHeight="1">
      <c r="A26" s="43" t="inlineStr"/>
      <c r="B26" s="43" t="inlineStr"/>
      <c r="C26" s="43" t="inlineStr"/>
      <c r="F26" s="43" t="inlineStr"/>
      <c r="H26" s="43" t="inlineStr"/>
      <c r="J26" s="43" t="inlineStr"/>
      <c r="K26" s="43" t="inlineStr"/>
      <c r="L26" s="43" t="inlineStr"/>
    </row>
    <row r="27" ht="20" customHeight="1">
      <c r="A27" s="18" t="inlineStr">
        <is>
          <t>TOTAL DÉPENSES JUSTIFIÉES</t>
        </is>
      </c>
      <c r="J27" s="44" t="inlineStr"/>
      <c r="K27" s="44" t="inlineStr"/>
      <c r="L27" s="45" t="inlineStr">
        <is>
          <t>USD / CDF</t>
        </is>
      </c>
    </row>
    <row r="28" ht="20" customHeight="1">
      <c r="A28" s="46" t="inlineStr">
        <is>
          <t>SOLDE NON UTILISÉ RETOURNÉ</t>
        </is>
      </c>
      <c r="J28" s="47" t="inlineStr"/>
      <c r="K28" s="47" t="inlineStr"/>
      <c r="L28" s="45" t="inlineStr">
        <is>
          <t>USD / CDF</t>
        </is>
      </c>
    </row>
    <row r="29" ht="20" customHeight="1">
      <c r="A29" s="48" t="inlineStr">
        <is>
          <t>VÉRIFICATION  (Avance = Dépenses + Solde retourné)</t>
        </is>
      </c>
      <c r="J29" s="49" t="inlineStr">
        <is>
          <t>OK / ÉCART À EXPLIQUER</t>
        </is>
      </c>
      <c r="L29" s="50" t="inlineStr"/>
    </row>
    <row r="31" ht="18" customHeight="1">
      <c r="A31" s="21" t="inlineStr">
        <is>
          <t>Observations / Écart éventuel</t>
        </is>
      </c>
    </row>
    <row r="32" ht="50" customHeight="1">
      <c r="A32" s="35" t="inlineStr"/>
    </row>
    <row r="34" ht="18" customHeight="1">
      <c r="A34" s="25" t="inlineStr">
        <is>
          <t>Bénéficiaire
(signature)</t>
        </is>
      </c>
      <c r="E34" s="25" t="inlineStr">
        <is>
          <t>Caissière — Eliane MUSOLO
(accusé de réception)</t>
        </is>
      </c>
      <c r="I34" s="25" t="inlineStr">
        <is>
          <t>Comptable
(visa comptabilisation)</t>
        </is>
      </c>
    </row>
    <row r="35" ht="50" customHeight="1">
      <c r="A35" s="26" t="inlineStr"/>
      <c r="E35" s="26" t="inlineStr"/>
      <c r="I35" s="26" t="inlineStr"/>
    </row>
    <row r="37" ht="14" customHeight="1">
      <c r="A37" s="27" t="inlineStr">
        <is>
          <t>DOC-G-04 — Fiche de Justification d'Avance — KILIMA Holdings — Document interne confidentiel</t>
        </is>
      </c>
    </row>
  </sheetData>
  <mergeCells count="66">
    <mergeCell ref="C16:E16"/>
    <mergeCell ref="E12:L12"/>
    <mergeCell ref="A8:D8"/>
    <mergeCell ref="H20:I20"/>
    <mergeCell ref="J29:K29"/>
    <mergeCell ref="F16:G16"/>
    <mergeCell ref="A35:D35"/>
    <mergeCell ref="F19:G19"/>
    <mergeCell ref="C22:E22"/>
    <mergeCell ref="F25:G25"/>
    <mergeCell ref="I35:L35"/>
    <mergeCell ref="A37:L37"/>
    <mergeCell ref="A27:I27"/>
    <mergeCell ref="C21:E21"/>
    <mergeCell ref="A10:D10"/>
    <mergeCell ref="A3:L3"/>
    <mergeCell ref="A13:D13"/>
    <mergeCell ref="E8:L8"/>
    <mergeCell ref="F21:G21"/>
    <mergeCell ref="H25:I25"/>
    <mergeCell ref="A9:D9"/>
    <mergeCell ref="H21:I21"/>
    <mergeCell ref="F24:G24"/>
    <mergeCell ref="A34:D34"/>
    <mergeCell ref="C23:E23"/>
    <mergeCell ref="I34:L34"/>
    <mergeCell ref="F20:G20"/>
    <mergeCell ref="F18:G18"/>
    <mergeCell ref="A32:L32"/>
    <mergeCell ref="E10:L10"/>
    <mergeCell ref="C17:E17"/>
    <mergeCell ref="E13:L13"/>
    <mergeCell ref="A11:D11"/>
    <mergeCell ref="I2:L2"/>
    <mergeCell ref="F26:G26"/>
    <mergeCell ref="F17:G17"/>
    <mergeCell ref="A4:L4"/>
    <mergeCell ref="H17:I17"/>
    <mergeCell ref="A29:I29"/>
    <mergeCell ref="E9:L9"/>
    <mergeCell ref="C19:E19"/>
    <mergeCell ref="H16:I16"/>
    <mergeCell ref="A28:I28"/>
    <mergeCell ref="A2:H2"/>
    <mergeCell ref="E35:H35"/>
    <mergeCell ref="F23:G23"/>
    <mergeCell ref="E11:L11"/>
    <mergeCell ref="C18:E18"/>
    <mergeCell ref="A31:L31"/>
    <mergeCell ref="A7:D7"/>
    <mergeCell ref="H19:I19"/>
    <mergeCell ref="F22:G22"/>
    <mergeCell ref="H22:I22"/>
    <mergeCell ref="C24:E24"/>
    <mergeCell ref="A15:L15"/>
    <mergeCell ref="E7:L7"/>
    <mergeCell ref="A12:D12"/>
    <mergeCell ref="H24:I24"/>
    <mergeCell ref="E34:H34"/>
    <mergeCell ref="H18:I18"/>
    <mergeCell ref="A6:L6"/>
    <mergeCell ref="H23:I23"/>
    <mergeCell ref="C26:E26"/>
    <mergeCell ref="C20:E20"/>
    <mergeCell ref="C25:E25"/>
    <mergeCell ref="H26:I26"/>
  </mergeCells>
  <pageMargins left="0.5" right="0.5" top="0.6" bottom="0.6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M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6" customWidth="1" min="3" max="3"/>
    <col width="16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10" customWidth="1" min="12" max="12"/>
  </cols>
  <sheetData>
    <row r="1" ht="12" customHeight="1"/>
    <row r="2" ht="28" customHeight="1">
      <c r="A2" s="9" t="inlineStr">
        <is>
          <t>KILIMA Holdings</t>
        </is>
      </c>
      <c r="I2" s="10" t="inlineStr">
        <is>
          <t>DOC-G-05</t>
        </is>
      </c>
    </row>
    <row r="3" ht="18" customHeight="1">
      <c r="A3" s="11" t="inlineStr">
        <is>
          <t>JOURNAL DE CAISSE JOURNALIER</t>
        </is>
      </c>
    </row>
    <row r="4" ht="20" customHeight="1">
      <c r="A4" s="12" t="inlineStr">
        <is>
          <t>Toutes entités KILIMA Holdings — Un journal par entité par jour</t>
        </is>
      </c>
    </row>
    <row r="5" ht="8" customHeight="1"/>
    <row r="6" ht="18" customHeight="1">
      <c r="A6" s="13" t="inlineStr">
        <is>
          <t>En-tête</t>
        </is>
      </c>
    </row>
    <row r="7" ht="20" customHeight="1">
      <c r="A7" s="51" t="inlineStr">
        <is>
          <t>Date</t>
        </is>
      </c>
      <c r="E7" s="15" t="inlineStr"/>
    </row>
    <row r="8" ht="20" customHeight="1">
      <c r="A8" s="51" t="inlineStr">
        <is>
          <t>Entité</t>
        </is>
      </c>
      <c r="E8" s="15" t="inlineStr"/>
    </row>
    <row r="9" ht="20" customHeight="1">
      <c r="A9" s="51" t="inlineStr">
        <is>
          <t>Caissier(ère)</t>
        </is>
      </c>
      <c r="E9" s="15" t="inlineStr"/>
    </row>
    <row r="10" ht="20" customHeight="1">
      <c r="A10" s="51" t="inlineStr">
        <is>
          <t>Solde d'ouverture USD</t>
        </is>
      </c>
      <c r="E10" s="15" t="inlineStr"/>
    </row>
    <row r="11" ht="20" customHeight="1">
      <c r="A11" s="51" t="inlineStr">
        <is>
          <t>Solde d'ouverture CDF</t>
        </is>
      </c>
      <c r="E11" s="15" t="inlineStr"/>
    </row>
    <row r="13" ht="18" customHeight="1">
      <c r="A13" s="13" t="inlineStr">
        <is>
          <t>Mouvements de la journée</t>
        </is>
      </c>
    </row>
    <row r="14" ht="22" customHeight="1">
      <c r="A14" s="16" t="inlineStr">
        <is>
          <t>N°</t>
        </is>
      </c>
      <c r="B14" s="16" t="inlineStr">
        <is>
          <t>Heure</t>
        </is>
      </c>
      <c r="C14" s="16" t="inlineStr">
        <is>
          <t>Nature de l'opération</t>
        </is>
      </c>
      <c r="F14" s="16" t="inlineStr">
        <is>
          <t>Réf. doc.</t>
        </is>
      </c>
      <c r="G14" s="16" t="inlineStr">
        <is>
          <t>Entrée USD</t>
        </is>
      </c>
      <c r="H14" s="16" t="inlineStr">
        <is>
          <t>Sortie USD</t>
        </is>
      </c>
      <c r="I14" s="16" t="inlineStr">
        <is>
          <t>Entrée CDF</t>
        </is>
      </c>
      <c r="J14" s="16" t="inlineStr">
        <is>
          <t>Sortie CDF</t>
        </is>
      </c>
      <c r="K14" s="16" t="inlineStr">
        <is>
          <t>Solde USD</t>
        </is>
      </c>
      <c r="L14" s="16" t="inlineStr">
        <is>
          <t>Solde CDF</t>
        </is>
      </c>
      <c r="M14" s="16" t="inlineStr">
        <is>
          <t>Observations</t>
        </is>
      </c>
    </row>
    <row r="15" ht="16" customHeight="1">
      <c r="A15" s="5" t="inlineStr"/>
      <c r="B15" s="5" t="inlineStr"/>
      <c r="C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 ht="16" customHeight="1">
      <c r="A16" s="7" t="inlineStr"/>
      <c r="B16" s="7" t="inlineStr"/>
      <c r="C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</row>
    <row r="17" ht="16" customHeight="1">
      <c r="A17" s="5" t="inlineStr"/>
      <c r="B17" s="5" t="inlineStr"/>
      <c r="C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 ht="16" customHeight="1">
      <c r="A18" s="7" t="inlineStr"/>
      <c r="B18" s="7" t="inlineStr"/>
      <c r="C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</row>
    <row r="19" ht="16" customHeight="1">
      <c r="A19" s="5" t="inlineStr"/>
      <c r="B19" s="5" t="inlineStr"/>
      <c r="C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 ht="16" customHeight="1">
      <c r="A20" s="7" t="inlineStr"/>
      <c r="B20" s="7" t="inlineStr"/>
      <c r="C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</row>
    <row r="21" ht="16" customHeight="1">
      <c r="A21" s="5" t="inlineStr"/>
      <c r="B21" s="5" t="inlineStr"/>
      <c r="C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 ht="16" customHeight="1">
      <c r="A22" s="7" t="inlineStr"/>
      <c r="B22" s="7" t="inlineStr"/>
      <c r="C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</row>
    <row r="23" ht="16" customHeight="1">
      <c r="A23" s="5" t="inlineStr"/>
      <c r="B23" s="5" t="inlineStr"/>
      <c r="C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 ht="16" customHeight="1">
      <c r="A24" s="7" t="inlineStr"/>
      <c r="B24" s="7" t="inlineStr"/>
      <c r="C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</row>
    <row r="25" ht="16" customHeight="1">
      <c r="A25" s="5" t="inlineStr"/>
      <c r="B25" s="5" t="inlineStr"/>
      <c r="C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 ht="16" customHeight="1">
      <c r="A26" s="7" t="inlineStr"/>
      <c r="B26" s="7" t="inlineStr"/>
      <c r="C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</row>
    <row r="27" ht="16" customHeight="1">
      <c r="A27" s="5" t="inlineStr"/>
      <c r="B27" s="5" t="inlineStr"/>
      <c r="C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 ht="16" customHeight="1">
      <c r="A28" s="7" t="inlineStr"/>
      <c r="B28" s="7" t="inlineStr"/>
      <c r="C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</row>
    <row r="29" ht="16" customHeight="1">
      <c r="A29" s="5" t="inlineStr"/>
      <c r="B29" s="5" t="inlineStr"/>
      <c r="C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</row>
    <row r="30" ht="16" customHeight="1">
      <c r="A30" s="7" t="inlineStr"/>
      <c r="B30" s="7" t="inlineStr"/>
      <c r="C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</row>
    <row r="31" ht="16" customHeight="1">
      <c r="A31" s="5" t="inlineStr"/>
      <c r="B31" s="5" t="inlineStr"/>
      <c r="C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 ht="16" customHeight="1">
      <c r="A32" s="7" t="inlineStr"/>
      <c r="B32" s="7" t="inlineStr"/>
      <c r="C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</row>
    <row r="33" ht="16" customHeight="1">
      <c r="A33" s="5" t="inlineStr"/>
      <c r="B33" s="5" t="inlineStr"/>
      <c r="C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 ht="16" customHeight="1">
      <c r="A34" s="7" t="inlineStr"/>
      <c r="B34" s="7" t="inlineStr"/>
      <c r="C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</row>
    <row r="35" ht="20" customHeight="1">
      <c r="A35" s="46" t="inlineStr">
        <is>
          <t>TOTAUX MOUVEMENTS</t>
        </is>
      </c>
      <c r="E35" s="52" t="inlineStr"/>
      <c r="F35" s="52" t="inlineStr"/>
      <c r="G35" s="52" t="inlineStr"/>
      <c r="H35" s="52" t="inlineStr"/>
      <c r="I35" s="50" t="inlineStr"/>
      <c r="J35" s="50" t="inlineStr"/>
      <c r="K35" s="50" t="inlineStr"/>
    </row>
    <row r="36" ht="22" customHeight="1">
      <c r="A36" s="18" t="inlineStr">
        <is>
          <t>SOLDE DE CLÔTURE THÉORIQUE</t>
        </is>
      </c>
      <c r="E36" s="44" t="inlineStr"/>
      <c r="F36" s="50" t="inlineStr"/>
      <c r="G36" s="44" t="inlineStr"/>
      <c r="H36" s="50" t="inlineStr"/>
      <c r="I36" s="45" t="inlineStr">
        <is>
          <t>USD / CDF</t>
        </is>
      </c>
    </row>
    <row r="37" ht="22" customHeight="1">
      <c r="A37" s="33" t="inlineStr">
        <is>
          <t>SOLDE PHYSIQUE COMPTÉ</t>
        </is>
      </c>
      <c r="E37" s="53" t="inlineStr"/>
      <c r="F37" s="50" t="inlineStr"/>
      <c r="G37" s="53" t="inlineStr"/>
      <c r="H37" s="50" t="inlineStr"/>
      <c r="I37" s="45" t="inlineStr">
        <is>
          <t>USD / CDF</t>
        </is>
      </c>
    </row>
    <row r="38" ht="20" customHeight="1">
      <c r="A38" s="54" t="inlineStr">
        <is>
          <t>ÉCART (Théorique - Physique)</t>
        </is>
      </c>
      <c r="E38" s="55" t="inlineStr"/>
      <c r="F38" s="50" t="inlineStr"/>
      <c r="G38" s="55" t="inlineStr"/>
      <c r="H38" s="36" t="inlineStr">
        <is>
          <t>0 = OK  |  Écart &gt; 0 → signaler au DFI immédiatement</t>
        </is>
      </c>
    </row>
    <row r="40" ht="18" customHeight="1">
      <c r="A40" s="25" t="inlineStr">
        <is>
          <t>Caissier(ère)
(signature &amp; date)</t>
        </is>
      </c>
      <c r="E40" s="25" t="inlineStr">
        <is>
          <t>Contrôle hebdo
(Comptable — signature)</t>
        </is>
      </c>
      <c r="I40" s="25" t="inlineStr">
        <is>
          <t>Visa DFI
(si écart)</t>
        </is>
      </c>
    </row>
    <row r="41" ht="50" customHeight="1">
      <c r="A41" s="26" t="inlineStr"/>
      <c r="E41" s="26" t="inlineStr"/>
      <c r="I41" s="26" t="inlineStr"/>
    </row>
    <row r="43" ht="14" customHeight="1">
      <c r="A43" s="27" t="inlineStr">
        <is>
          <t>DOC-G-05 — Journal de Caisse Journalier — KILIMA Holdings — Document interne confidentiel</t>
        </is>
      </c>
    </row>
  </sheetData>
  <mergeCells count="51">
    <mergeCell ref="C16:E16"/>
    <mergeCell ref="A8:D8"/>
    <mergeCell ref="A35:D35"/>
    <mergeCell ref="C31:E31"/>
    <mergeCell ref="I37:K37"/>
    <mergeCell ref="C22:E22"/>
    <mergeCell ref="A38:D38"/>
    <mergeCell ref="E41:H41"/>
    <mergeCell ref="C21:E21"/>
    <mergeCell ref="A10:D10"/>
    <mergeCell ref="A3:L3"/>
    <mergeCell ref="E8:L8"/>
    <mergeCell ref="A40:D40"/>
    <mergeCell ref="A9:D9"/>
    <mergeCell ref="C27:E27"/>
    <mergeCell ref="I40:L40"/>
    <mergeCell ref="C23:E23"/>
    <mergeCell ref="E10:L10"/>
    <mergeCell ref="H38:K38"/>
    <mergeCell ref="C17:E17"/>
    <mergeCell ref="A11:D11"/>
    <mergeCell ref="I2:L2"/>
    <mergeCell ref="A36:D36"/>
    <mergeCell ref="A4:L4"/>
    <mergeCell ref="C32:E32"/>
    <mergeCell ref="E9:L9"/>
    <mergeCell ref="C28:E28"/>
    <mergeCell ref="C19:E19"/>
    <mergeCell ref="A43:L43"/>
    <mergeCell ref="A2:H2"/>
    <mergeCell ref="E11:L11"/>
    <mergeCell ref="A13:L13"/>
    <mergeCell ref="C18:E18"/>
    <mergeCell ref="A7:D7"/>
    <mergeCell ref="A41:D41"/>
    <mergeCell ref="C30:E30"/>
    <mergeCell ref="I41:L41"/>
    <mergeCell ref="C34:E34"/>
    <mergeCell ref="C15:E15"/>
    <mergeCell ref="C24:E24"/>
    <mergeCell ref="A37:D37"/>
    <mergeCell ref="C33:E33"/>
    <mergeCell ref="C14:E14"/>
    <mergeCell ref="E40:H40"/>
    <mergeCell ref="I36:K36"/>
    <mergeCell ref="E7:L7"/>
    <mergeCell ref="A6:L6"/>
    <mergeCell ref="C26:E26"/>
    <mergeCell ref="C29:E29"/>
    <mergeCell ref="C20:E20"/>
    <mergeCell ref="C25:E25"/>
  </mergeCells>
  <pageMargins left="0.5" right="0.5" top="0.6" bottom="0.6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L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10" customWidth="1" min="4" max="4"/>
    <col width="18" customWidth="1" min="5" max="5"/>
    <col width="8" customWidth="1" min="6" max="6"/>
    <col width="8" customWidth="1" min="7" max="7"/>
    <col width="10" customWidth="1" min="8" max="8"/>
    <col width="8" customWidth="1" min="9" max="9"/>
    <col width="8" customWidth="1" min="10" max="10"/>
    <col width="10" customWidth="1" min="11" max="11"/>
    <col width="10" customWidth="1" min="12" max="12"/>
  </cols>
  <sheetData>
    <row r="1" ht="12" customHeight="1"/>
    <row r="2" ht="28" customHeight="1">
      <c r="A2" s="9" t="inlineStr">
        <is>
          <t>KILIMA Holdings</t>
        </is>
      </c>
      <c r="I2" s="10" t="inlineStr">
        <is>
          <t>DOC-G-06</t>
        </is>
      </c>
    </row>
    <row r="3" ht="18" customHeight="1">
      <c r="A3" s="28" t="inlineStr">
        <is>
          <t>BORDEREAU DE CESSION DE FONDS</t>
        </is>
      </c>
    </row>
    <row r="4" ht="20" customHeight="1">
      <c r="A4" s="12" t="inlineStr">
        <is>
          <t>Transfert entre caissiers — KAKO Sarl / GHR / Toutes entités concernées</t>
        </is>
      </c>
    </row>
    <row r="5" ht="8" customHeight="1"/>
    <row r="6" ht="18" customHeight="1">
      <c r="A6" s="29" t="inlineStr">
        <is>
          <t>Informations générales</t>
        </is>
      </c>
    </row>
    <row r="7" ht="20" customHeight="1">
      <c r="A7" s="30" t="inlineStr">
        <is>
          <t>N° Bordereau</t>
        </is>
      </c>
      <c r="E7" s="15" t="inlineStr"/>
    </row>
    <row r="8" ht="20" customHeight="1">
      <c r="A8" s="30" t="inlineStr">
        <is>
          <t>Date</t>
        </is>
      </c>
      <c r="E8" s="15" t="inlineStr"/>
    </row>
    <row r="9" ht="20" customHeight="1">
      <c r="A9" s="30" t="inlineStr">
        <is>
          <t>Heure de la cession</t>
        </is>
      </c>
      <c r="E9" s="15" t="inlineStr"/>
    </row>
    <row r="10" ht="20" customHeight="1">
      <c r="A10" s="30" t="inlineStr">
        <is>
          <t>Entité concernée</t>
        </is>
      </c>
      <c r="E10" s="15" t="inlineStr"/>
    </row>
    <row r="11" ht="20" customHeight="1">
      <c r="A11" s="30" t="inlineStr">
        <is>
          <t>Cédant (qui remet les fonds)</t>
        </is>
      </c>
      <c r="E11" s="15" t="inlineStr"/>
    </row>
    <row r="12" ht="20" customHeight="1">
      <c r="A12" s="30" t="inlineStr">
        <is>
          <t>Receveur (qui réceptionne les fonds)</t>
        </is>
      </c>
      <c r="E12" s="15" t="inlineStr"/>
    </row>
    <row r="13" ht="20" customHeight="1">
      <c r="A13" s="30" t="inlineStr">
        <is>
          <t>Nature de la cession (ventes retail / bar / restaurant / réception…)</t>
        </is>
      </c>
      <c r="E13" s="15" t="inlineStr"/>
    </row>
    <row r="15" ht="18" customHeight="1">
      <c r="A15" s="29" t="inlineStr">
        <is>
          <t>Détail des fonds cédés</t>
        </is>
      </c>
    </row>
    <row r="16" ht="20" customHeight="1">
      <c r="A16" s="56" t="inlineStr">
        <is>
          <t>Catégorie</t>
        </is>
      </c>
      <c r="E16" s="56" t="inlineStr">
        <is>
          <t>Montant USD</t>
        </is>
      </c>
      <c r="H16" s="56" t="inlineStr">
        <is>
          <t>Montant CDF</t>
        </is>
      </c>
      <c r="K16" s="56" t="inlineStr">
        <is>
          <t>Nb reçus / bons</t>
        </is>
      </c>
    </row>
    <row r="17" ht="18" customHeight="1">
      <c r="A17" s="5" t="inlineStr">
        <is>
          <t>Ventes espèces USD</t>
        </is>
      </c>
      <c r="E17" s="5" t="inlineStr"/>
      <c r="H17" s="5" t="inlineStr"/>
      <c r="K17" s="5" t="inlineStr"/>
    </row>
    <row r="18" ht="18" customHeight="1">
      <c r="A18" s="32" t="inlineStr">
        <is>
          <t>Ventes espèces CDF</t>
        </is>
      </c>
      <c r="E18" s="32" t="inlineStr"/>
      <c r="H18" s="32" t="inlineStr"/>
      <c r="K18" s="32" t="inlineStr"/>
    </row>
    <row r="19" ht="18" customHeight="1">
      <c r="A19" s="5" t="inlineStr">
        <is>
          <t>Encaissements clients (factures)</t>
        </is>
      </c>
      <c r="E19" s="5" t="inlineStr"/>
      <c r="H19" s="5" t="inlineStr"/>
      <c r="K19" s="5" t="inlineStr"/>
    </row>
    <row r="20" ht="18" customHeight="1">
      <c r="A20" s="32" t="inlineStr">
        <is>
          <t>Autres entrées</t>
        </is>
      </c>
      <c r="E20" s="32" t="inlineStr"/>
      <c r="H20" s="32" t="inlineStr"/>
      <c r="K20" s="32" t="inlineStr"/>
    </row>
    <row r="21" ht="18" customHeight="1">
      <c r="A21" s="5" t="inlineStr">
        <is>
          <t>Sous-total entrées</t>
        </is>
      </c>
      <c r="E21" s="15" t="inlineStr"/>
      <c r="H21" s="15" t="inlineStr"/>
      <c r="K21" s="15" t="inlineStr"/>
    </row>
    <row r="22" ht="18" customHeight="1">
      <c r="A22" s="32" t="inlineStr">
        <is>
          <t>Avances reçues non dépensées</t>
        </is>
      </c>
      <c r="E22" s="32" t="inlineStr"/>
      <c r="H22" s="32" t="inlineStr"/>
      <c r="K22" s="32" t="inlineStr"/>
    </row>
    <row r="23" ht="18" customHeight="1">
      <c r="A23" s="5" t="inlineStr">
        <is>
          <t>Fonds reçus en début de journée</t>
        </is>
      </c>
      <c r="E23" s="5" t="inlineStr"/>
      <c r="H23" s="5" t="inlineStr"/>
      <c r="K23" s="5" t="inlineStr"/>
    </row>
    <row r="24" ht="22" customHeight="1">
      <c r="A24" s="57" t="inlineStr">
        <is>
          <t>TOTAL FONDS CÉDÉS</t>
        </is>
      </c>
      <c r="E24" s="58" t="inlineStr"/>
      <c r="H24" s="58" t="inlineStr"/>
      <c r="K24" s="45" t="inlineStr">
        <is>
          <t>USD / CDF</t>
        </is>
      </c>
    </row>
    <row r="26" ht="18" customHeight="1">
      <c r="A26" s="21" t="inlineStr">
        <is>
          <t>Liste des reçus / bons remis (si applicable)</t>
        </is>
      </c>
    </row>
    <row r="27" ht="50" customHeight="1">
      <c r="A27" s="15" t="inlineStr">
        <is>
          <t xml:space="preserve">N° reçus / bons joints au présent bordereau :
</t>
        </is>
      </c>
    </row>
    <row r="29" ht="18" customHeight="1">
      <c r="A29" s="25" t="inlineStr">
        <is>
          <t>Cédant
(signature &amp; heure)</t>
        </is>
      </c>
      <c r="E29" s="25" t="inlineStr">
        <is>
          <t>Receveur
(signature &amp; heure)</t>
        </is>
      </c>
      <c r="I29" s="25" t="inlineStr">
        <is>
          <t>Visa Caissière centrale
(Eliane MUSOLO)</t>
        </is>
      </c>
    </row>
    <row r="30" ht="50" customHeight="1">
      <c r="A30" s="26" t="inlineStr"/>
      <c r="E30" s="26" t="inlineStr"/>
      <c r="I30" s="26" t="inlineStr"/>
    </row>
    <row r="32" ht="14" customHeight="1">
      <c r="A32" s="27" t="inlineStr">
        <is>
          <t>DOC-G-06 — Bordereau de Cession de Fonds — KILIMA Holdings — Document interne confidentiel</t>
        </is>
      </c>
    </row>
  </sheetData>
  <mergeCells count="65">
    <mergeCell ref="K16:L16"/>
    <mergeCell ref="E12:L12"/>
    <mergeCell ref="A17:D17"/>
    <mergeCell ref="A23:D23"/>
    <mergeCell ref="A8:D8"/>
    <mergeCell ref="E19:G19"/>
    <mergeCell ref="A22:D22"/>
    <mergeCell ref="K24:L24"/>
    <mergeCell ref="A20:D20"/>
    <mergeCell ref="A29:D29"/>
    <mergeCell ref="I29:L29"/>
    <mergeCell ref="A19:D19"/>
    <mergeCell ref="A27:L27"/>
    <mergeCell ref="H17:J17"/>
    <mergeCell ref="A10:D10"/>
    <mergeCell ref="A3:L3"/>
    <mergeCell ref="A13:D13"/>
    <mergeCell ref="E8:L8"/>
    <mergeCell ref="K21:L21"/>
    <mergeCell ref="A26:L26"/>
    <mergeCell ref="H16:J16"/>
    <mergeCell ref="A9:D9"/>
    <mergeCell ref="K20:L20"/>
    <mergeCell ref="H22:J22"/>
    <mergeCell ref="H19:J19"/>
    <mergeCell ref="A30:D30"/>
    <mergeCell ref="A32:L32"/>
    <mergeCell ref="E10:L10"/>
    <mergeCell ref="I30:L30"/>
    <mergeCell ref="E13:L13"/>
    <mergeCell ref="A24:D24"/>
    <mergeCell ref="A11:D11"/>
    <mergeCell ref="I2:L2"/>
    <mergeCell ref="K22:L22"/>
    <mergeCell ref="A4:L4"/>
    <mergeCell ref="E16:G16"/>
    <mergeCell ref="E9:L9"/>
    <mergeCell ref="H24:J24"/>
    <mergeCell ref="E22:G22"/>
    <mergeCell ref="H18:J18"/>
    <mergeCell ref="A2:H2"/>
    <mergeCell ref="H23:J23"/>
    <mergeCell ref="E11:L11"/>
    <mergeCell ref="A7:D7"/>
    <mergeCell ref="E18:G18"/>
    <mergeCell ref="E29:H29"/>
    <mergeCell ref="H21:J21"/>
    <mergeCell ref="A16:D16"/>
    <mergeCell ref="E21:G21"/>
    <mergeCell ref="K23:L23"/>
    <mergeCell ref="K17:L17"/>
    <mergeCell ref="H20:J20"/>
    <mergeCell ref="E24:G24"/>
    <mergeCell ref="A18:D18"/>
    <mergeCell ref="A15:L15"/>
    <mergeCell ref="E7:L7"/>
    <mergeCell ref="A12:D12"/>
    <mergeCell ref="E23:G23"/>
    <mergeCell ref="A21:D21"/>
    <mergeCell ref="E30:H30"/>
    <mergeCell ref="E17:G17"/>
    <mergeCell ref="A6:L6"/>
    <mergeCell ref="K19:L19"/>
    <mergeCell ref="K18:L18"/>
    <mergeCell ref="E20:G20"/>
  </mergeCells>
  <pageMargins left="0.5" right="0.5" top="0.6" bottom="0.6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2:M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2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2" customWidth="1" min="12" max="12"/>
    <col width="10" customWidth="1" min="13" max="13"/>
  </cols>
  <sheetData>
    <row r="1" ht="12" customHeight="1"/>
    <row r="2" ht="28" customHeight="1">
      <c r="A2" s="9" t="inlineStr">
        <is>
          <t>KILIMA Holdings</t>
        </is>
      </c>
      <c r="I2" s="10" t="inlineStr">
        <is>
          <t>DOC-G-07</t>
        </is>
      </c>
    </row>
    <row r="3" ht="18" customHeight="1">
      <c r="A3" s="42" t="inlineStr">
        <is>
          <t>TABLEAU DE SUIVI DES CRÉANCES</t>
        </is>
      </c>
    </row>
    <row r="4" ht="20" customHeight="1">
      <c r="A4" s="12" t="inlineStr">
        <is>
          <t>Toutes entités KILIMA Holdings — Mise à jour continue</t>
        </is>
      </c>
    </row>
    <row r="5" ht="8" customHeight="1"/>
    <row r="6" ht="18" customHeight="1">
      <c r="A6" s="23" t="inlineStr">
        <is>
          <t>Informations</t>
        </is>
      </c>
    </row>
    <row r="7" ht="20" customHeight="1">
      <c r="A7" s="14" t="inlineStr">
        <is>
          <t>Entité</t>
        </is>
      </c>
      <c r="D7" s="15" t="inlineStr"/>
    </row>
    <row r="8" ht="20" customHeight="1">
      <c r="A8" s="14" t="inlineStr">
        <is>
          <t>Mois concerné</t>
        </is>
      </c>
      <c r="D8" s="15" t="inlineStr"/>
    </row>
    <row r="9" ht="20" customHeight="1">
      <c r="A9" s="14" t="inlineStr">
        <is>
          <t>Comptable responsable</t>
        </is>
      </c>
      <c r="D9" s="15" t="inlineStr"/>
    </row>
    <row r="11" ht="18" customHeight="1">
      <c r="A11" s="23" t="inlineStr">
        <is>
          <t>Suivi des créances clients</t>
        </is>
      </c>
    </row>
    <row r="12" ht="30" customHeight="1">
      <c r="A12" s="59" t="inlineStr">
        <is>
          <t>N° facture</t>
        </is>
      </c>
      <c r="B12" s="59" t="inlineStr">
        <is>
          <t>Date facture</t>
        </is>
      </c>
      <c r="C12" s="59" t="inlineStr">
        <is>
          <t>Client</t>
        </is>
      </c>
      <c r="D12" s="59" t="inlineStr">
        <is>
          <t>Réf. commande / bon liv.</t>
        </is>
      </c>
      <c r="E12" s="59" t="inlineStr">
        <is>
          <t>Montant facturé USD</t>
        </is>
      </c>
      <c r="F12" s="59" t="inlineStr">
        <is>
          <t>Montant facturé CDF</t>
        </is>
      </c>
      <c r="G12" s="59" t="inlineStr">
        <is>
          <t>Date échéance</t>
        </is>
      </c>
      <c r="H12" s="59" t="inlineStr">
        <is>
          <t>Nb jours retard</t>
        </is>
      </c>
      <c r="I12" s="59" t="inlineStr">
        <is>
          <t>Montant payé USD</t>
        </is>
      </c>
      <c r="J12" s="59" t="inlineStr">
        <is>
          <t>Montant payé CDF</t>
        </is>
      </c>
      <c r="K12" s="59" t="inlineStr">
        <is>
          <t>Solde restant USD</t>
        </is>
      </c>
      <c r="L12" s="59" t="inlineStr">
        <is>
          <t>Statut</t>
        </is>
      </c>
      <c r="M12" s="59" t="inlineStr">
        <is>
          <t>Dernière relance</t>
        </is>
      </c>
    </row>
    <row r="13" ht="18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60">
        <f>IF(AND(M13&lt;&gt;"",G13&lt;&gt;""),IF(M13&lt;G13,0,TODAY()-G13),"")</f>
        <v/>
      </c>
      <c r="I13" s="5" t="inlineStr"/>
      <c r="J13" s="5" t="inlineStr"/>
      <c r="K13" s="61">
        <f>IF(E13&lt;&gt;"",E13-IF(I13&lt;&gt;"",I13,0),"")</f>
        <v/>
      </c>
      <c r="L13" s="5">
        <f>IF(K13="","",IF(K13&lt;=0,"Soldé",IF(H13&gt;30,"En retard +30j",IF(H13&gt;0,"En retard","En attente"))))</f>
        <v/>
      </c>
      <c r="M13" s="5" t="inlineStr"/>
    </row>
    <row r="14" ht="18" customHeight="1">
      <c r="A14" s="43" t="inlineStr"/>
      <c r="B14" s="43" t="inlineStr"/>
      <c r="C14" s="43" t="inlineStr"/>
      <c r="D14" s="43" t="inlineStr"/>
      <c r="E14" s="43" t="inlineStr"/>
      <c r="F14" s="43" t="inlineStr"/>
      <c r="G14" s="43" t="inlineStr"/>
      <c r="H14" s="62">
        <f>IF(AND(M14&lt;&gt;"",G14&lt;&gt;""),IF(M14&lt;G14,0,TODAY()-G14),"")</f>
        <v/>
      </c>
      <c r="I14" s="43" t="inlineStr"/>
      <c r="J14" s="43" t="inlineStr"/>
      <c r="K14" s="63">
        <f>IF(E14&lt;&gt;"",E14-IF(I14&lt;&gt;"",I14,0),"")</f>
        <v/>
      </c>
      <c r="L14" s="43">
        <f>IF(K14="","",IF(K14&lt;=0,"Soldé",IF(H14&gt;30,"En retard +30j",IF(H14&gt;0,"En retard","En attente"))))</f>
        <v/>
      </c>
      <c r="M14" s="43" t="inlineStr"/>
    </row>
    <row r="15" ht="18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60">
        <f>IF(AND(M15&lt;&gt;"",G15&lt;&gt;""),IF(M15&lt;G15,0,TODAY()-G15),"")</f>
        <v/>
      </c>
      <c r="I15" s="5" t="inlineStr"/>
      <c r="J15" s="5" t="inlineStr"/>
      <c r="K15" s="61">
        <f>IF(E15&lt;&gt;"",E15-IF(I15&lt;&gt;"",I15,0),"")</f>
        <v/>
      </c>
      <c r="L15" s="5">
        <f>IF(K15="","",IF(K15&lt;=0,"Soldé",IF(H15&gt;30,"En retard +30j",IF(H15&gt;0,"En retard","En attente"))))</f>
        <v/>
      </c>
      <c r="M15" s="5" t="inlineStr"/>
    </row>
    <row r="16" ht="18" customHeight="1">
      <c r="A16" s="43" t="inlineStr"/>
      <c r="B16" s="43" t="inlineStr"/>
      <c r="C16" s="43" t="inlineStr"/>
      <c r="D16" s="43" t="inlineStr"/>
      <c r="E16" s="43" t="inlineStr"/>
      <c r="F16" s="43" t="inlineStr"/>
      <c r="G16" s="43" t="inlineStr"/>
      <c r="H16" s="62">
        <f>IF(AND(M16&lt;&gt;"",G16&lt;&gt;""),IF(M16&lt;G16,0,TODAY()-G16),"")</f>
        <v/>
      </c>
      <c r="I16" s="43" t="inlineStr"/>
      <c r="J16" s="43" t="inlineStr"/>
      <c r="K16" s="63">
        <f>IF(E16&lt;&gt;"",E16-IF(I16&lt;&gt;"",I16,0),"")</f>
        <v/>
      </c>
      <c r="L16" s="43">
        <f>IF(K16="","",IF(K16&lt;=0,"Soldé",IF(H16&gt;30,"En retard +30j",IF(H16&gt;0,"En retard","En attente"))))</f>
        <v/>
      </c>
      <c r="M16" s="43" t="inlineStr"/>
    </row>
    <row r="17" ht="18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60">
        <f>IF(AND(M17&lt;&gt;"",G17&lt;&gt;""),IF(M17&lt;G17,0,TODAY()-G17),"")</f>
        <v/>
      </c>
      <c r="I17" s="5" t="inlineStr"/>
      <c r="J17" s="5" t="inlineStr"/>
      <c r="K17" s="61">
        <f>IF(E17&lt;&gt;"",E17-IF(I17&lt;&gt;"",I17,0),"")</f>
        <v/>
      </c>
      <c r="L17" s="5">
        <f>IF(K17="","",IF(K17&lt;=0,"Soldé",IF(H17&gt;30,"En retard +30j",IF(H17&gt;0,"En retard","En attente"))))</f>
        <v/>
      </c>
      <c r="M17" s="5" t="inlineStr"/>
    </row>
    <row r="18" ht="18" customHeight="1">
      <c r="A18" s="43" t="inlineStr"/>
      <c r="B18" s="43" t="inlineStr"/>
      <c r="C18" s="43" t="inlineStr"/>
      <c r="D18" s="43" t="inlineStr"/>
      <c r="E18" s="43" t="inlineStr"/>
      <c r="F18" s="43" t="inlineStr"/>
      <c r="G18" s="43" t="inlineStr"/>
      <c r="H18" s="62">
        <f>IF(AND(M18&lt;&gt;"",G18&lt;&gt;""),IF(M18&lt;G18,0,TODAY()-G18),"")</f>
        <v/>
      </c>
      <c r="I18" s="43" t="inlineStr"/>
      <c r="J18" s="43" t="inlineStr"/>
      <c r="K18" s="63">
        <f>IF(E18&lt;&gt;"",E18-IF(I18&lt;&gt;"",I18,0),"")</f>
        <v/>
      </c>
      <c r="L18" s="43">
        <f>IF(K18="","",IF(K18&lt;=0,"Soldé",IF(H18&gt;30,"En retard +30j",IF(H18&gt;0,"En retard","En attente"))))</f>
        <v/>
      </c>
      <c r="M18" s="43" t="inlineStr"/>
    </row>
    <row r="19" ht="18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60">
        <f>IF(AND(M19&lt;&gt;"",G19&lt;&gt;""),IF(M19&lt;G19,0,TODAY()-G19),"")</f>
        <v/>
      </c>
      <c r="I19" s="5" t="inlineStr"/>
      <c r="J19" s="5" t="inlineStr"/>
      <c r="K19" s="61">
        <f>IF(E19&lt;&gt;"",E19-IF(I19&lt;&gt;"",I19,0),"")</f>
        <v/>
      </c>
      <c r="L19" s="5">
        <f>IF(K19="","",IF(K19&lt;=0,"Soldé",IF(H19&gt;30,"En retard +30j",IF(H19&gt;0,"En retard","En attente"))))</f>
        <v/>
      </c>
      <c r="M19" s="5" t="inlineStr"/>
    </row>
    <row r="20" ht="18" customHeight="1">
      <c r="A20" s="43" t="inlineStr"/>
      <c r="B20" s="43" t="inlineStr"/>
      <c r="C20" s="43" t="inlineStr"/>
      <c r="D20" s="43" t="inlineStr"/>
      <c r="E20" s="43" t="inlineStr"/>
      <c r="F20" s="43" t="inlineStr"/>
      <c r="G20" s="43" t="inlineStr"/>
      <c r="H20" s="62">
        <f>IF(AND(M20&lt;&gt;"",G20&lt;&gt;""),IF(M20&lt;G20,0,TODAY()-G20),"")</f>
        <v/>
      </c>
      <c r="I20" s="43" t="inlineStr"/>
      <c r="J20" s="43" t="inlineStr"/>
      <c r="K20" s="63">
        <f>IF(E20&lt;&gt;"",E20-IF(I20&lt;&gt;"",I20,0),"")</f>
        <v/>
      </c>
      <c r="L20" s="43">
        <f>IF(K20="","",IF(K20&lt;=0,"Soldé",IF(H20&gt;30,"En retard +30j",IF(H20&gt;0,"En retard","En attente"))))</f>
        <v/>
      </c>
      <c r="M20" s="43" t="inlineStr"/>
    </row>
    <row r="21" ht="18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60">
        <f>IF(AND(M21&lt;&gt;"",G21&lt;&gt;""),IF(M21&lt;G21,0,TODAY()-G21),"")</f>
        <v/>
      </c>
      <c r="I21" s="5" t="inlineStr"/>
      <c r="J21" s="5" t="inlineStr"/>
      <c r="K21" s="61">
        <f>IF(E21&lt;&gt;"",E21-IF(I21&lt;&gt;"",I21,0),"")</f>
        <v/>
      </c>
      <c r="L21" s="5">
        <f>IF(K21="","",IF(K21&lt;=0,"Soldé",IF(H21&gt;30,"En retard +30j",IF(H21&gt;0,"En retard","En attente"))))</f>
        <v/>
      </c>
      <c r="M21" s="5" t="inlineStr"/>
    </row>
    <row r="22" ht="18" customHeight="1">
      <c r="A22" s="43" t="inlineStr"/>
      <c r="B22" s="43" t="inlineStr"/>
      <c r="C22" s="43" t="inlineStr"/>
      <c r="D22" s="43" t="inlineStr"/>
      <c r="E22" s="43" t="inlineStr"/>
      <c r="F22" s="43" t="inlineStr"/>
      <c r="G22" s="43" t="inlineStr"/>
      <c r="H22" s="62">
        <f>IF(AND(M22&lt;&gt;"",G22&lt;&gt;""),IF(M22&lt;G22,0,TODAY()-G22),"")</f>
        <v/>
      </c>
      <c r="I22" s="43" t="inlineStr"/>
      <c r="J22" s="43" t="inlineStr"/>
      <c r="K22" s="63">
        <f>IF(E22&lt;&gt;"",E22-IF(I22&lt;&gt;"",I22,0),"")</f>
        <v/>
      </c>
      <c r="L22" s="43">
        <f>IF(K22="","",IF(K22&lt;=0,"Soldé",IF(H22&gt;30,"En retard +30j",IF(H22&gt;0,"En retard","En attente"))))</f>
        <v/>
      </c>
      <c r="M22" s="43" t="inlineStr"/>
    </row>
    <row r="23" ht="18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60">
        <f>IF(AND(M23&lt;&gt;"",G23&lt;&gt;""),IF(M23&lt;G23,0,TODAY()-G23),"")</f>
        <v/>
      </c>
      <c r="I23" s="5" t="inlineStr"/>
      <c r="J23" s="5" t="inlineStr"/>
      <c r="K23" s="61">
        <f>IF(E23&lt;&gt;"",E23-IF(I23&lt;&gt;"",I23,0),"")</f>
        <v/>
      </c>
      <c r="L23" s="5">
        <f>IF(K23="","",IF(K23&lt;=0,"Soldé",IF(H23&gt;30,"En retard +30j",IF(H23&gt;0,"En retard","En attente"))))</f>
        <v/>
      </c>
      <c r="M23" s="5" t="inlineStr"/>
    </row>
    <row r="24" ht="18" customHeight="1">
      <c r="A24" s="43" t="inlineStr"/>
      <c r="B24" s="43" t="inlineStr"/>
      <c r="C24" s="43" t="inlineStr"/>
      <c r="D24" s="43" t="inlineStr"/>
      <c r="E24" s="43" t="inlineStr"/>
      <c r="F24" s="43" t="inlineStr"/>
      <c r="G24" s="43" t="inlineStr"/>
      <c r="H24" s="62">
        <f>IF(AND(M24&lt;&gt;"",G24&lt;&gt;""),IF(M24&lt;G24,0,TODAY()-G24),"")</f>
        <v/>
      </c>
      <c r="I24" s="43" t="inlineStr"/>
      <c r="J24" s="43" t="inlineStr"/>
      <c r="K24" s="63">
        <f>IF(E24&lt;&gt;"",E24-IF(I24&lt;&gt;"",I24,0),"")</f>
        <v/>
      </c>
      <c r="L24" s="43">
        <f>IF(K24="","",IF(K24&lt;=0,"Soldé",IF(H24&gt;30,"En retard +30j",IF(H24&gt;0,"En retard","En attente"))))</f>
        <v/>
      </c>
      <c r="M24" s="43" t="inlineStr"/>
    </row>
    <row r="25" ht="18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60">
        <f>IF(AND(M25&lt;&gt;"",G25&lt;&gt;""),IF(M25&lt;G25,0,TODAY()-G25),"")</f>
        <v/>
      </c>
      <c r="I25" s="5" t="inlineStr"/>
      <c r="J25" s="5" t="inlineStr"/>
      <c r="K25" s="61">
        <f>IF(E25&lt;&gt;"",E25-IF(I25&lt;&gt;"",I25,0),"")</f>
        <v/>
      </c>
      <c r="L25" s="5">
        <f>IF(K25="","",IF(K25&lt;=0,"Soldé",IF(H25&gt;30,"En retard +30j",IF(H25&gt;0,"En retard","En attente"))))</f>
        <v/>
      </c>
      <c r="M25" s="5" t="inlineStr"/>
    </row>
    <row r="26" ht="18" customHeight="1">
      <c r="A26" s="43" t="inlineStr"/>
      <c r="B26" s="43" t="inlineStr"/>
      <c r="C26" s="43" t="inlineStr"/>
      <c r="D26" s="43" t="inlineStr"/>
      <c r="E26" s="43" t="inlineStr"/>
      <c r="F26" s="43" t="inlineStr"/>
      <c r="G26" s="43" t="inlineStr"/>
      <c r="H26" s="62">
        <f>IF(AND(M26&lt;&gt;"",G26&lt;&gt;""),IF(M26&lt;G26,0,TODAY()-G26),"")</f>
        <v/>
      </c>
      <c r="I26" s="43" t="inlineStr"/>
      <c r="J26" s="43" t="inlineStr"/>
      <c r="K26" s="63">
        <f>IF(E26&lt;&gt;"",E26-IF(I26&lt;&gt;"",I26,0),"")</f>
        <v/>
      </c>
      <c r="L26" s="43">
        <f>IF(K26="","",IF(K26&lt;=0,"Soldé",IF(H26&gt;30,"En retard +30j",IF(H26&gt;0,"En retard","En attente"))))</f>
        <v/>
      </c>
      <c r="M26" s="43" t="inlineStr"/>
    </row>
    <row r="27" ht="18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60">
        <f>IF(AND(M27&lt;&gt;"",G27&lt;&gt;""),IF(M27&lt;G27,0,TODAY()-G27),"")</f>
        <v/>
      </c>
      <c r="I27" s="5" t="inlineStr"/>
      <c r="J27" s="5" t="inlineStr"/>
      <c r="K27" s="61">
        <f>IF(E27&lt;&gt;"",E27-IF(I27&lt;&gt;"",I27,0),"")</f>
        <v/>
      </c>
      <c r="L27" s="5">
        <f>IF(K27="","",IF(K27&lt;=0,"Soldé",IF(H27&gt;30,"En retard +30j",IF(H27&gt;0,"En retard","En attente"))))</f>
        <v/>
      </c>
      <c r="M27" s="5" t="inlineStr"/>
    </row>
    <row r="28" ht="18" customHeight="1">
      <c r="A28" s="43" t="inlineStr"/>
      <c r="B28" s="43" t="inlineStr"/>
      <c r="C28" s="43" t="inlineStr"/>
      <c r="D28" s="43" t="inlineStr"/>
      <c r="E28" s="43" t="inlineStr"/>
      <c r="F28" s="43" t="inlineStr"/>
      <c r="G28" s="43" t="inlineStr"/>
      <c r="H28" s="62">
        <f>IF(AND(M28&lt;&gt;"",G28&lt;&gt;""),IF(M28&lt;G28,0,TODAY()-G28),"")</f>
        <v/>
      </c>
      <c r="I28" s="43" t="inlineStr"/>
      <c r="J28" s="43" t="inlineStr"/>
      <c r="K28" s="63">
        <f>IF(E28&lt;&gt;"",E28-IF(I28&lt;&gt;"",I28,0),"")</f>
        <v/>
      </c>
      <c r="L28" s="43">
        <f>IF(K28="","",IF(K28&lt;=0,"Soldé",IF(H28&gt;30,"En retard +30j",IF(H28&gt;0,"En retard","En attente"))))</f>
        <v/>
      </c>
      <c r="M28" s="43" t="inlineStr"/>
    </row>
    <row r="29" ht="18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60">
        <f>IF(AND(M29&lt;&gt;"",G29&lt;&gt;""),IF(M29&lt;G29,0,TODAY()-G29),"")</f>
        <v/>
      </c>
      <c r="I29" s="5" t="inlineStr"/>
      <c r="J29" s="5" t="inlineStr"/>
      <c r="K29" s="61">
        <f>IF(E29&lt;&gt;"",E29-IF(I29&lt;&gt;"",I29,0),"")</f>
        <v/>
      </c>
      <c r="L29" s="5">
        <f>IF(K29="","",IF(K29&lt;=0,"Soldé",IF(H29&gt;30,"En retard +30j",IF(H29&gt;0,"En retard","En attente"))))</f>
        <v/>
      </c>
      <c r="M29" s="5" t="inlineStr"/>
    </row>
    <row r="30" ht="18" customHeight="1">
      <c r="A30" s="43" t="inlineStr"/>
      <c r="B30" s="43" t="inlineStr"/>
      <c r="C30" s="43" t="inlineStr"/>
      <c r="D30" s="43" t="inlineStr"/>
      <c r="E30" s="43" t="inlineStr"/>
      <c r="F30" s="43" t="inlineStr"/>
      <c r="G30" s="43" t="inlineStr"/>
      <c r="H30" s="62">
        <f>IF(AND(M30&lt;&gt;"",G30&lt;&gt;""),IF(M30&lt;G30,0,TODAY()-G30),"")</f>
        <v/>
      </c>
      <c r="I30" s="43" t="inlineStr"/>
      <c r="J30" s="43" t="inlineStr"/>
      <c r="K30" s="63">
        <f>IF(E30&lt;&gt;"",E30-IF(I30&lt;&gt;"",I30,0),"")</f>
        <v/>
      </c>
      <c r="L30" s="43">
        <f>IF(K30="","",IF(K30&lt;=0,"Soldé",IF(H30&gt;30,"En retard +30j",IF(H30&gt;0,"En retard","En attente"))))</f>
        <v/>
      </c>
      <c r="M30" s="43" t="inlineStr"/>
    </row>
    <row r="31" ht="18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60">
        <f>IF(AND(M31&lt;&gt;"",G31&lt;&gt;""),IF(M31&lt;G31,0,TODAY()-G31),"")</f>
        <v/>
      </c>
      <c r="I31" s="5" t="inlineStr"/>
      <c r="J31" s="5" t="inlineStr"/>
      <c r="K31" s="61">
        <f>IF(E31&lt;&gt;"",E31-IF(I31&lt;&gt;"",I31,0),"")</f>
        <v/>
      </c>
      <c r="L31" s="5">
        <f>IF(K31="","",IF(K31&lt;=0,"Soldé",IF(H31&gt;30,"En retard +30j",IF(H31&gt;0,"En retard","En attente"))))</f>
        <v/>
      </c>
      <c r="M31" s="5" t="inlineStr"/>
    </row>
    <row r="32" ht="18" customHeight="1">
      <c r="A32" s="43" t="inlineStr"/>
      <c r="B32" s="43" t="inlineStr"/>
      <c r="C32" s="43" t="inlineStr"/>
      <c r="D32" s="43" t="inlineStr"/>
      <c r="E32" s="43" t="inlineStr"/>
      <c r="F32" s="43" t="inlineStr"/>
      <c r="G32" s="43" t="inlineStr"/>
      <c r="H32" s="62">
        <f>IF(AND(M32&lt;&gt;"",G32&lt;&gt;""),IF(M32&lt;G32,0,TODAY()-G32),"")</f>
        <v/>
      </c>
      <c r="I32" s="43" t="inlineStr"/>
      <c r="J32" s="43" t="inlineStr"/>
      <c r="K32" s="63">
        <f>IF(E32&lt;&gt;"",E32-IF(I32&lt;&gt;"",I32,0),"")</f>
        <v/>
      </c>
      <c r="L32" s="43">
        <f>IF(K32="","",IF(K32&lt;=0,"Soldé",IF(H32&gt;30,"En retard +30j",IF(H32&gt;0,"En retard","En attente"))))</f>
        <v/>
      </c>
      <c r="M32" s="43" t="inlineStr"/>
    </row>
    <row r="33" ht="18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60">
        <f>IF(AND(M33&lt;&gt;"",G33&lt;&gt;""),IF(M33&lt;G33,0,TODAY()-G33),"")</f>
        <v/>
      </c>
      <c r="I33" s="5" t="inlineStr"/>
      <c r="J33" s="5" t="inlineStr"/>
      <c r="K33" s="61">
        <f>IF(E33&lt;&gt;"",E33-IF(I33&lt;&gt;"",I33,0),"")</f>
        <v/>
      </c>
      <c r="L33" s="5">
        <f>IF(K33="","",IF(K33&lt;=0,"Soldé",IF(H33&gt;30,"En retard +30j",IF(H33&gt;0,"En retard","En attente"))))</f>
        <v/>
      </c>
      <c r="M33" s="5" t="inlineStr"/>
    </row>
    <row r="34" ht="18" customHeight="1">
      <c r="A34" s="43" t="inlineStr"/>
      <c r="B34" s="43" t="inlineStr"/>
      <c r="C34" s="43" t="inlineStr"/>
      <c r="D34" s="43" t="inlineStr"/>
      <c r="E34" s="43" t="inlineStr"/>
      <c r="F34" s="43" t="inlineStr"/>
      <c r="G34" s="43" t="inlineStr"/>
      <c r="H34" s="62">
        <f>IF(AND(M34&lt;&gt;"",G34&lt;&gt;""),IF(M34&lt;G34,0,TODAY()-G34),"")</f>
        <v/>
      </c>
      <c r="I34" s="43" t="inlineStr"/>
      <c r="J34" s="43" t="inlineStr"/>
      <c r="K34" s="63">
        <f>IF(E34&lt;&gt;"",E34-IF(I34&lt;&gt;"",I34,0),"")</f>
        <v/>
      </c>
      <c r="L34" s="43">
        <f>IF(K34="","",IF(K34&lt;=0,"Soldé",IF(H34&gt;30,"En retard +30j",IF(H34&gt;0,"En retard","En attente"))))</f>
        <v/>
      </c>
      <c r="M34" s="43" t="inlineStr"/>
    </row>
    <row r="35" ht="18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60">
        <f>IF(AND(M35&lt;&gt;"",G35&lt;&gt;""),IF(M35&lt;G35,0,TODAY()-G35),"")</f>
        <v/>
      </c>
      <c r="I35" s="5" t="inlineStr"/>
      <c r="J35" s="5" t="inlineStr"/>
      <c r="K35" s="61">
        <f>IF(E35&lt;&gt;"",E35-IF(I35&lt;&gt;"",I35,0),"")</f>
        <v/>
      </c>
      <c r="L35" s="5">
        <f>IF(K35="","",IF(K35&lt;=0,"Soldé",IF(H35&gt;30,"En retard +30j",IF(H35&gt;0,"En retard","En attente"))))</f>
        <v/>
      </c>
      <c r="M35" s="5" t="inlineStr"/>
    </row>
    <row r="36" ht="18" customHeight="1">
      <c r="A36" s="43" t="inlineStr"/>
      <c r="B36" s="43" t="inlineStr"/>
      <c r="C36" s="43" t="inlineStr"/>
      <c r="D36" s="43" t="inlineStr"/>
      <c r="E36" s="43" t="inlineStr"/>
      <c r="F36" s="43" t="inlineStr"/>
      <c r="G36" s="43" t="inlineStr"/>
      <c r="H36" s="62">
        <f>IF(AND(M36&lt;&gt;"",G36&lt;&gt;""),IF(M36&lt;G36,0,TODAY()-G36),"")</f>
        <v/>
      </c>
      <c r="I36" s="43" t="inlineStr"/>
      <c r="J36" s="43" t="inlineStr"/>
      <c r="K36" s="63">
        <f>IF(E36&lt;&gt;"",E36-IF(I36&lt;&gt;"",I36,0),"")</f>
        <v/>
      </c>
      <c r="L36" s="43">
        <f>IF(K36="","",IF(K36&lt;=0,"Soldé",IF(H36&gt;30,"En retard +30j",IF(H36&gt;0,"En retard","En attente"))))</f>
        <v/>
      </c>
      <c r="M36" s="43" t="inlineStr"/>
    </row>
    <row r="37" ht="18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60">
        <f>IF(AND(M37&lt;&gt;"",G37&lt;&gt;""),IF(M37&lt;G37,0,TODAY()-G37),"")</f>
        <v/>
      </c>
      <c r="I37" s="5" t="inlineStr"/>
      <c r="J37" s="5" t="inlineStr"/>
      <c r="K37" s="61">
        <f>IF(E37&lt;&gt;"",E37-IF(I37&lt;&gt;"",I37,0),"")</f>
        <v/>
      </c>
      <c r="L37" s="5">
        <f>IF(K37="","",IF(K37&lt;=0,"Soldé",IF(H37&gt;30,"En retard +30j",IF(H37&gt;0,"En retard","En attente"))))</f>
        <v/>
      </c>
      <c r="M37" s="5" t="inlineStr"/>
    </row>
    <row r="38" ht="20" customHeight="1">
      <c r="A38" s="64" t="inlineStr">
        <is>
          <t>TOTAUX</t>
        </is>
      </c>
      <c r="E38" s="65">
        <f>SUM(E9:E37)</f>
        <v/>
      </c>
      <c r="F38" s="65">
        <f>SUM(F9:F37)</f>
        <v/>
      </c>
      <c r="G38" s="50" t="inlineStr"/>
      <c r="H38" s="50" t="inlineStr"/>
      <c r="I38" s="65">
        <f>SUM(I9:I37)</f>
        <v/>
      </c>
      <c r="J38" s="65">
        <f>SUM(J9:J37)</f>
        <v/>
      </c>
      <c r="K38" s="65">
        <f>SUM(K9:K37)</f>
        <v/>
      </c>
      <c r="L38" s="50" t="inlineStr"/>
      <c r="M38" s="50" t="inlineStr"/>
    </row>
    <row r="40" ht="14" customHeight="1">
      <c r="A40" s="66" t="inlineStr">
        <is>
          <t>Statuts : En attente = non échue | En retard = échue non payée | En retard +30j = escalade DG | Soldé = payée</t>
        </is>
      </c>
    </row>
    <row r="42" ht="14" customHeight="1">
      <c r="A42" s="27" t="inlineStr">
        <is>
          <t>DOC-G-07 — Tableau de Suivi des Créances — KILIMA Holdings — Document interne confidentiel</t>
        </is>
      </c>
    </row>
  </sheetData>
  <mergeCells count="15">
    <mergeCell ref="A42:L42"/>
    <mergeCell ref="A11:L11"/>
    <mergeCell ref="A2:H2"/>
    <mergeCell ref="A8:C8"/>
    <mergeCell ref="D9:M9"/>
    <mergeCell ref="A38:D38"/>
    <mergeCell ref="A40:M40"/>
    <mergeCell ref="A9:C9"/>
    <mergeCell ref="D7:M7"/>
    <mergeCell ref="A6:L6"/>
    <mergeCell ref="D8:M8"/>
    <mergeCell ref="A7:C7"/>
    <mergeCell ref="I2:L2"/>
    <mergeCell ref="A3:L3"/>
    <mergeCell ref="A4:L4"/>
  </mergeCells>
  <pageMargins left="0.5" right="0.5" top="0.6" bottom="0.6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2:L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8" customWidth="1" min="3" max="3"/>
    <col width="10" customWidth="1" min="4" max="4"/>
    <col width="16" customWidth="1" min="5" max="5"/>
    <col width="8" customWidth="1" min="6" max="6"/>
    <col width="8" customWidth="1" min="7" max="7"/>
    <col width="10" customWidth="1" min="8" max="8"/>
    <col width="8" customWidth="1" min="9" max="9"/>
    <col width="8" customWidth="1" min="10" max="10"/>
    <col width="10" customWidth="1" min="11" max="11"/>
    <col width="10" customWidth="1" min="12" max="12"/>
  </cols>
  <sheetData>
    <row r="1" ht="12" customHeight="1"/>
    <row r="2" ht="28" customHeight="1">
      <c r="A2" s="9" t="inlineStr">
        <is>
          <t>KILIMA Holdings</t>
        </is>
      </c>
      <c r="I2" s="10" t="inlineStr">
        <is>
          <t>DOC-G-08</t>
        </is>
      </c>
    </row>
    <row r="3" ht="18" customHeight="1">
      <c r="A3" s="28" t="inlineStr">
        <is>
          <t>FICHE DE CLÔTURE DE CAISSE JOURNALIÈRE</t>
        </is>
      </c>
    </row>
    <row r="4" ht="20" customHeight="1">
      <c r="A4" s="12" t="inlineStr">
        <is>
          <t>Réconciliation solde théorique vs physique — Toutes entités</t>
        </is>
      </c>
    </row>
    <row r="5" ht="8" customHeight="1"/>
    <row r="6" ht="18" customHeight="1">
      <c r="A6" s="29" t="inlineStr">
        <is>
          <t>En-tête</t>
        </is>
      </c>
    </row>
    <row r="7" ht="20" customHeight="1">
      <c r="A7" s="30" t="inlineStr">
        <is>
          <t>Date</t>
        </is>
      </c>
      <c r="E7" s="15" t="inlineStr"/>
    </row>
    <row r="8" ht="20" customHeight="1">
      <c r="A8" s="30" t="inlineStr">
        <is>
          <t>Entité</t>
        </is>
      </c>
      <c r="E8" s="15" t="inlineStr"/>
    </row>
    <row r="9" ht="20" customHeight="1">
      <c r="A9" s="30" t="inlineStr">
        <is>
          <t>Caissier(ère)</t>
        </is>
      </c>
      <c r="E9" s="15" t="inlineStr"/>
    </row>
    <row r="10" ht="20" customHeight="1">
      <c r="A10" s="30" t="inlineStr">
        <is>
          <t>Heure de clôture</t>
        </is>
      </c>
      <c r="E10" s="15" t="inlineStr"/>
    </row>
    <row r="12" ht="18" customHeight="1">
      <c r="A12" s="29" t="inlineStr">
        <is>
          <t>Réconciliation</t>
        </is>
      </c>
    </row>
    <row r="13" ht="22" customHeight="1">
      <c r="A13" s="67" t="inlineStr">
        <is>
          <t>Solde d'ouverture (report du jour précédent)</t>
        </is>
      </c>
      <c r="G13" s="68" t="inlineStr"/>
      <c r="J13" s="45" t="inlineStr">
        <is>
          <t>USD</t>
        </is>
      </c>
      <c r="K13" s="68" t="inlineStr"/>
    </row>
    <row r="14" ht="22" customHeight="1">
      <c r="A14" s="69" t="inlineStr">
        <is>
          <t>(+) Total encaissements de la journée</t>
        </is>
      </c>
      <c r="G14" s="68" t="inlineStr"/>
      <c r="J14" s="45" t="inlineStr">
        <is>
          <t>USD</t>
        </is>
      </c>
      <c r="K14" s="68" t="inlineStr"/>
    </row>
    <row r="15" ht="22" customHeight="1">
      <c r="A15" s="70" t="inlineStr">
        <is>
          <t>(-) Total décaissements de la journée</t>
        </is>
      </c>
      <c r="G15" s="68" t="inlineStr"/>
      <c r="J15" s="45" t="inlineStr">
        <is>
          <t>USD</t>
        </is>
      </c>
      <c r="K15" s="68" t="inlineStr"/>
    </row>
    <row r="16" ht="22" customHeight="1">
      <c r="A16" s="71" t="inlineStr">
        <is>
          <t>(=) SOLDE THÉORIQUE</t>
        </is>
      </c>
      <c r="G16" s="68" t="inlineStr"/>
      <c r="J16" s="45" t="inlineStr">
        <is>
          <t>USD</t>
        </is>
      </c>
      <c r="K16" s="68" t="inlineStr"/>
    </row>
    <row r="17" ht="22" customHeight="1">
      <c r="A17" s="72" t="inlineStr">
        <is>
          <t>SOLDE PHYSIQUE COMPTÉ</t>
        </is>
      </c>
      <c r="G17" s="68" t="inlineStr"/>
      <c r="J17" s="45" t="inlineStr">
        <is>
          <t>USD</t>
        </is>
      </c>
      <c r="K17" s="68" t="inlineStr"/>
    </row>
    <row r="18" ht="22" customHeight="1">
      <c r="A18" s="73" t="inlineStr">
        <is>
          <t>ÉCART (Théorique - Physique)</t>
        </is>
      </c>
      <c r="G18" s="68" t="inlineStr"/>
      <c r="J18" s="45" t="inlineStr">
        <is>
          <t>USD</t>
        </is>
      </c>
      <c r="K18" s="68" t="inlineStr"/>
    </row>
    <row r="20" ht="18" customHeight="1">
      <c r="A20" s="21" t="inlineStr">
        <is>
          <t>Détail du comptage physique (optionnel mais recommandé)</t>
        </is>
      </c>
    </row>
    <row r="21" ht="20" customHeight="1">
      <c r="A21" s="74" t="inlineStr">
        <is>
          <t>Coupure / devise</t>
        </is>
      </c>
      <c r="E21" s="74" t="inlineStr">
        <is>
          <t>Nombre</t>
        </is>
      </c>
      <c r="H21" s="74" t="inlineStr">
        <is>
          <t>Montant</t>
        </is>
      </c>
      <c r="K21" s="74" t="inlineStr">
        <is>
          <t>Observations</t>
        </is>
      </c>
    </row>
    <row r="22" ht="16" customHeight="1">
      <c r="A22" s="5" t="inlineStr">
        <is>
          <t>100 USD</t>
        </is>
      </c>
      <c r="E22" s="5" t="inlineStr"/>
      <c r="H22" s="5" t="inlineStr"/>
      <c r="K22" s="5" t="inlineStr"/>
    </row>
    <row r="23" ht="16" customHeight="1">
      <c r="A23" s="17" t="inlineStr">
        <is>
          <t>50 USD</t>
        </is>
      </c>
      <c r="E23" s="17" t="inlineStr"/>
      <c r="H23" s="17" t="inlineStr"/>
      <c r="K23" s="17" t="inlineStr"/>
    </row>
    <row r="24" ht="16" customHeight="1">
      <c r="A24" s="5" t="inlineStr">
        <is>
          <t>20 USD</t>
        </is>
      </c>
      <c r="E24" s="5" t="inlineStr"/>
      <c r="H24" s="5" t="inlineStr"/>
      <c r="K24" s="5" t="inlineStr"/>
    </row>
    <row r="25" ht="16" customHeight="1">
      <c r="A25" s="17" t="inlineStr">
        <is>
          <t>10 USD</t>
        </is>
      </c>
      <c r="E25" s="17" t="inlineStr"/>
      <c r="H25" s="17" t="inlineStr"/>
      <c r="K25" s="17" t="inlineStr"/>
    </row>
    <row r="26" ht="16" customHeight="1">
      <c r="A26" s="5" t="inlineStr">
        <is>
          <t>5 USD</t>
        </is>
      </c>
      <c r="E26" s="5" t="inlineStr"/>
      <c r="H26" s="5" t="inlineStr"/>
      <c r="K26" s="5" t="inlineStr"/>
    </row>
    <row r="27" ht="16" customHeight="1">
      <c r="A27" s="17" t="inlineStr">
        <is>
          <t>1 USD</t>
        </is>
      </c>
      <c r="E27" s="17" t="inlineStr"/>
      <c r="H27" s="17" t="inlineStr"/>
      <c r="K27" s="17" t="inlineStr"/>
    </row>
    <row r="28" ht="16" customHeight="1">
      <c r="A28" s="5" t="inlineStr">
        <is>
          <t>Billets CDF</t>
        </is>
      </c>
      <c r="E28" s="5" t="inlineStr"/>
      <c r="H28" s="5" t="inlineStr"/>
      <c r="K28" s="5" t="inlineStr"/>
    </row>
    <row r="29" ht="16" customHeight="1">
      <c r="A29" s="17" t="inlineStr">
        <is>
          <t>Pièces CDF</t>
        </is>
      </c>
      <c r="E29" s="17" t="inlineStr"/>
      <c r="H29" s="17" t="inlineStr"/>
      <c r="K29" s="17" t="inlineStr"/>
    </row>
    <row r="30" ht="16" customHeight="1">
      <c r="A30" s="5" t="inlineStr">
        <is>
          <t>Autres devises</t>
        </is>
      </c>
      <c r="E30" s="5" t="inlineStr"/>
      <c r="H30" s="5" t="inlineStr"/>
      <c r="K30" s="5" t="inlineStr"/>
    </row>
    <row r="32" ht="18" customHeight="1">
      <c r="A32" s="75" t="inlineStr">
        <is>
          <t>Explication de l'écart (obligatoire si écart ≠ 0)</t>
        </is>
      </c>
    </row>
    <row r="33" ht="50" customHeight="1">
      <c r="A33" s="76" t="inlineStr"/>
    </row>
    <row r="35" ht="18" customHeight="1">
      <c r="A35" s="25" t="inlineStr">
        <is>
          <t>Caissier(ère)
(signature &amp; date)</t>
        </is>
      </c>
      <c r="E35" s="25" t="inlineStr">
        <is>
          <t>Comptable
(contrôle hebdo — visa)</t>
        </is>
      </c>
      <c r="I35" s="25" t="inlineStr">
        <is>
          <t>DFI
(visa si écart significatif)</t>
        </is>
      </c>
    </row>
    <row r="36" ht="50" customHeight="1">
      <c r="A36" s="26" t="inlineStr"/>
      <c r="E36" s="26" t="inlineStr"/>
      <c r="I36" s="26" t="inlineStr"/>
    </row>
    <row r="38" ht="14" customHeight="1">
      <c r="A38" s="27" t="inlineStr">
        <is>
          <t>DOC-G-08 — Fiche de Clôture Caisse — KILIMA Holdings — Document interne confidentiel</t>
        </is>
      </c>
    </row>
  </sheetData>
  <mergeCells count="82">
    <mergeCell ref="G13:I13"/>
    <mergeCell ref="K24:L24"/>
    <mergeCell ref="A29:D29"/>
    <mergeCell ref="G15:I15"/>
    <mergeCell ref="K26:L26"/>
    <mergeCell ref="H22:J22"/>
    <mergeCell ref="E26:G26"/>
    <mergeCell ref="A24:D24"/>
    <mergeCell ref="G16:I16"/>
    <mergeCell ref="A13:F13"/>
    <mergeCell ref="H30:J30"/>
    <mergeCell ref="A7:D7"/>
    <mergeCell ref="A15:F15"/>
    <mergeCell ref="H29:J29"/>
    <mergeCell ref="A27:D27"/>
    <mergeCell ref="K28:L28"/>
    <mergeCell ref="A6:L6"/>
    <mergeCell ref="K13:L13"/>
    <mergeCell ref="H21:J21"/>
    <mergeCell ref="E36:H36"/>
    <mergeCell ref="A16:F16"/>
    <mergeCell ref="E28:G28"/>
    <mergeCell ref="K30:L30"/>
    <mergeCell ref="A22:D22"/>
    <mergeCell ref="A35:D35"/>
    <mergeCell ref="K15:L15"/>
    <mergeCell ref="A18:F18"/>
    <mergeCell ref="E30:G30"/>
    <mergeCell ref="A3:L3"/>
    <mergeCell ref="A28:D28"/>
    <mergeCell ref="A12:L12"/>
    <mergeCell ref="E8:L8"/>
    <mergeCell ref="K21:L21"/>
    <mergeCell ref="A9:D9"/>
    <mergeCell ref="G14:I14"/>
    <mergeCell ref="A30:D30"/>
    <mergeCell ref="H27:J27"/>
    <mergeCell ref="A32:L32"/>
    <mergeCell ref="E10:L10"/>
    <mergeCell ref="A4:L4"/>
    <mergeCell ref="A38:L38"/>
    <mergeCell ref="E9:L9"/>
    <mergeCell ref="A2:H2"/>
    <mergeCell ref="K27:L27"/>
    <mergeCell ref="K17:L17"/>
    <mergeCell ref="E24:G24"/>
    <mergeCell ref="A26:D26"/>
    <mergeCell ref="G17:I17"/>
    <mergeCell ref="K16:L16"/>
    <mergeCell ref="K25:L25"/>
    <mergeCell ref="A8:D8"/>
    <mergeCell ref="I35:L35"/>
    <mergeCell ref="A10:D10"/>
    <mergeCell ref="K29:L29"/>
    <mergeCell ref="A17:F17"/>
    <mergeCell ref="I2:L2"/>
    <mergeCell ref="A36:D36"/>
    <mergeCell ref="A20:L20"/>
    <mergeCell ref="H24:J24"/>
    <mergeCell ref="E22:G22"/>
    <mergeCell ref="E21:G21"/>
    <mergeCell ref="K23:L23"/>
    <mergeCell ref="H26:J26"/>
    <mergeCell ref="E23:G23"/>
    <mergeCell ref="A21:D21"/>
    <mergeCell ref="K18:L18"/>
    <mergeCell ref="A23:D23"/>
    <mergeCell ref="G18:I18"/>
    <mergeCell ref="A14:F14"/>
    <mergeCell ref="E27:G27"/>
    <mergeCell ref="H28:J28"/>
    <mergeCell ref="A33:L33"/>
    <mergeCell ref="K22:L22"/>
    <mergeCell ref="E25:G25"/>
    <mergeCell ref="I36:L36"/>
    <mergeCell ref="E35:H35"/>
    <mergeCell ref="H23:J23"/>
    <mergeCell ref="A25:D25"/>
    <mergeCell ref="K14:L14"/>
    <mergeCell ref="E7:L7"/>
    <mergeCell ref="E29:G29"/>
    <mergeCell ref="H25:J25"/>
  </mergeCells>
  <pageMargins left="0.5" right="0.5" top="0.6" bottom="0.6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2:M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12" customHeight="1"/>
    <row r="2" ht="28" customHeight="1">
      <c r="A2" s="9" t="inlineStr">
        <is>
          <t>KILIMA Holdings</t>
        </is>
      </c>
      <c r="I2" s="10" t="inlineStr">
        <is>
          <t>DOC-G-09</t>
        </is>
      </c>
    </row>
    <row r="3" ht="18" customHeight="1">
      <c r="A3" s="42" t="inlineStr">
        <is>
          <t>TABLEAU DE RÉCONCILIATION MENSUELLE</t>
        </is>
      </c>
    </row>
    <row r="4" ht="20" customHeight="1">
      <c r="A4" s="12" t="inlineStr">
        <is>
          <t>Rapprochement comptable de fin de mois — Toutes entités KILIMA Holdings</t>
        </is>
      </c>
    </row>
    <row r="5" ht="8" customHeight="1"/>
    <row r="6" ht="18" customHeight="1">
      <c r="A6" s="23" t="inlineStr">
        <is>
          <t>En-tête</t>
        </is>
      </c>
    </row>
    <row r="7" ht="20" customHeight="1">
      <c r="A7" s="14" t="inlineStr">
        <is>
          <t>Entité</t>
        </is>
      </c>
      <c r="D7" s="15" t="inlineStr"/>
    </row>
    <row r="8" ht="20" customHeight="1">
      <c r="A8" s="14" t="inlineStr">
        <is>
          <t>Mois / Année</t>
        </is>
      </c>
      <c r="D8" s="15" t="inlineStr"/>
    </row>
    <row r="9" ht="20" customHeight="1">
      <c r="A9" s="14" t="inlineStr">
        <is>
          <t>Comptable responsable</t>
        </is>
      </c>
      <c r="D9" s="15" t="inlineStr"/>
    </row>
    <row r="10" ht="20" customHeight="1">
      <c r="A10" s="14" t="inlineStr">
        <is>
          <t>Date de clôture</t>
        </is>
      </c>
      <c r="D10" s="15" t="inlineStr"/>
    </row>
    <row r="12" ht="18" customHeight="1">
      <c r="A12" s="13" t="inlineStr">
        <is>
          <t>1. Résumé Produits &amp; Charges du mois</t>
        </is>
      </c>
    </row>
    <row r="13" ht="22" customHeight="1">
      <c r="A13" s="77" t="inlineStr">
        <is>
          <t>Rubrique</t>
        </is>
      </c>
      <c r="E13" s="77" t="inlineStr">
        <is>
          <t>Budget</t>
        </is>
      </c>
      <c r="H13" s="77" t="inlineStr">
        <is>
          <t>Réalisé</t>
        </is>
      </c>
      <c r="K13" s="77" t="inlineStr">
        <is>
          <t>Écart</t>
        </is>
      </c>
    </row>
    <row r="14" ht="20" customHeight="1">
      <c r="A14" s="78" t="inlineStr">
        <is>
          <t>PRODUITS</t>
        </is>
      </c>
      <c r="E14" s="79" t="inlineStr"/>
      <c r="H14" s="79" t="inlineStr"/>
      <c r="K14" s="79" t="inlineStr"/>
    </row>
    <row r="15" ht="20" customHeight="1">
      <c r="A15" s="17" t="inlineStr">
        <is>
          <t xml:space="preserve">  Chiffre d'affaires / Revenus</t>
        </is>
      </c>
      <c r="E15" s="80" t="inlineStr"/>
      <c r="H15" s="80" t="inlineStr"/>
      <c r="K15" s="80" t="inlineStr"/>
    </row>
    <row r="16" ht="20" customHeight="1">
      <c r="A16" s="5" t="inlineStr">
        <is>
          <t xml:space="preserve">  Autres produits</t>
        </is>
      </c>
      <c r="E16" s="79" t="inlineStr"/>
      <c r="H16" s="79" t="inlineStr"/>
      <c r="K16" s="79" t="inlineStr"/>
    </row>
    <row r="17" ht="20" customHeight="1">
      <c r="A17" s="81" t="inlineStr">
        <is>
          <t>TOTAL PRODUITS</t>
        </is>
      </c>
      <c r="E17" s="82" t="inlineStr"/>
      <c r="H17" s="82" t="inlineStr"/>
      <c r="K17" s="82" t="inlineStr"/>
    </row>
    <row r="18" ht="20" customHeight="1">
      <c r="A18" s="83" t="inlineStr">
        <is>
          <t>CHARGES</t>
        </is>
      </c>
      <c r="E18" s="79" t="inlineStr"/>
      <c r="H18" s="79" t="inlineStr"/>
      <c r="K18" s="79" t="inlineStr"/>
    </row>
    <row r="19" ht="20" customHeight="1">
      <c r="A19" s="17" t="inlineStr">
        <is>
          <t xml:space="preserve">  Achats / Coût des ventes</t>
        </is>
      </c>
      <c r="E19" s="80" t="inlineStr"/>
      <c r="H19" s="80" t="inlineStr"/>
      <c r="K19" s="80" t="inlineStr"/>
    </row>
    <row r="20" ht="20" customHeight="1">
      <c r="A20" s="5" t="inlineStr">
        <is>
          <t xml:space="preserve">  Charges personnel</t>
        </is>
      </c>
      <c r="E20" s="79" t="inlineStr"/>
      <c r="H20" s="79" t="inlineStr"/>
      <c r="K20" s="79" t="inlineStr"/>
    </row>
    <row r="21" ht="20" customHeight="1">
      <c r="A21" s="17" t="inlineStr">
        <is>
          <t xml:space="preserve">  Charges exploitation</t>
        </is>
      </c>
      <c r="E21" s="80" t="inlineStr"/>
      <c r="H21" s="80" t="inlineStr"/>
      <c r="K21" s="80" t="inlineStr"/>
    </row>
    <row r="22" ht="20" customHeight="1">
      <c r="A22" s="5" t="inlineStr">
        <is>
          <t xml:space="preserve">  Charges financières</t>
        </is>
      </c>
      <c r="E22" s="79" t="inlineStr"/>
      <c r="H22" s="79" t="inlineStr"/>
      <c r="K22" s="79" t="inlineStr"/>
    </row>
    <row r="23" ht="20" customHeight="1">
      <c r="A23" s="84" t="inlineStr">
        <is>
          <t>TOTAL CHARGES</t>
        </is>
      </c>
      <c r="E23" s="82" t="inlineStr"/>
      <c r="H23" s="82" t="inlineStr"/>
      <c r="K23" s="82" t="inlineStr"/>
    </row>
    <row r="24" ht="20" customHeight="1">
      <c r="A24" s="14" t="inlineStr">
        <is>
          <t>RÉSULTAT DU MOIS (Produits - Charges)</t>
        </is>
      </c>
      <c r="E24" s="82" t="inlineStr"/>
      <c r="H24" s="82" t="inlineStr"/>
      <c r="K24" s="82" t="inlineStr"/>
    </row>
    <row r="26" ht="18" customHeight="1">
      <c r="A26" s="29" t="inlineStr">
        <is>
          <t>2. Réconciliation bancaire</t>
        </is>
      </c>
    </row>
    <row r="27" ht="20" customHeight="1">
      <c r="A27" s="85" t="inlineStr">
        <is>
          <t>Solde bancaire au relevé (fin du mois)</t>
        </is>
      </c>
      <c r="H27" s="86" t="inlineStr"/>
    </row>
    <row r="28" ht="20" customHeight="1">
      <c r="A28" s="85" t="inlineStr">
        <is>
          <t>Solde comptable banque (compte 52/51)</t>
        </is>
      </c>
      <c r="H28" s="86" t="inlineStr"/>
    </row>
    <row r="29" ht="20" customHeight="1">
      <c r="A29" s="87" t="inlineStr">
        <is>
          <t>ÉCART (doit être justifié)</t>
        </is>
      </c>
      <c r="H29" s="88" t="inlineStr"/>
    </row>
    <row r="31" ht="18" customHeight="1">
      <c r="A31" s="29" t="inlineStr">
        <is>
          <t>3. Réconciliation caisse</t>
        </is>
      </c>
    </row>
    <row r="32" ht="20" customHeight="1">
      <c r="A32" s="89" t="inlineStr">
        <is>
          <t>Solde caisse comptable (compte 57)</t>
        </is>
      </c>
      <c r="H32" s="86" t="inlineStr"/>
    </row>
    <row r="33" ht="20" customHeight="1">
      <c r="A33" s="89" t="inlineStr">
        <is>
          <t>Solde caisse physique (inventaire)</t>
        </is>
      </c>
      <c r="H33" s="86" t="inlineStr"/>
    </row>
    <row r="34" ht="20" customHeight="1">
      <c r="A34" s="87" t="inlineStr">
        <is>
          <t>ÉCART (doit être justifié)</t>
        </is>
      </c>
      <c r="H34" s="90" t="inlineStr"/>
    </row>
    <row r="36" ht="18" customHeight="1">
      <c r="A36" s="23" t="inlineStr">
        <is>
          <t>4. Avances non justifiées en cours (compte 425/467)</t>
        </is>
      </c>
    </row>
    <row r="37" ht="20" customHeight="1">
      <c r="A37" s="91" t="inlineStr">
        <is>
          <t>Bénéficiaire</t>
        </is>
      </c>
      <c r="E37" s="91" t="inlineStr">
        <is>
          <t>Date avance</t>
        </is>
      </c>
      <c r="H37" s="91" t="inlineStr">
        <is>
          <t>Montant</t>
        </is>
      </c>
      <c r="K37" s="91" t="inlineStr">
        <is>
          <t>Statut</t>
        </is>
      </c>
    </row>
    <row r="38" ht="18" customHeight="1">
      <c r="A38" s="5" t="inlineStr"/>
      <c r="E38" s="5" t="inlineStr"/>
      <c r="H38" s="5" t="inlineStr"/>
      <c r="K38" s="5" t="inlineStr"/>
    </row>
    <row r="39" ht="18" customHeight="1">
      <c r="A39" s="43" t="inlineStr"/>
      <c r="E39" s="43" t="inlineStr"/>
      <c r="H39" s="43" t="inlineStr"/>
      <c r="K39" s="43" t="inlineStr"/>
    </row>
    <row r="40" ht="18" customHeight="1">
      <c r="A40" s="5" t="inlineStr"/>
      <c r="E40" s="5" t="inlineStr"/>
      <c r="H40" s="5" t="inlineStr"/>
      <c r="K40" s="5" t="inlineStr"/>
    </row>
    <row r="41" ht="18" customHeight="1">
      <c r="A41" s="43" t="inlineStr"/>
      <c r="E41" s="43" t="inlineStr"/>
      <c r="H41" s="43" t="inlineStr"/>
      <c r="K41" s="43" t="inlineStr"/>
    </row>
    <row r="42" ht="18" customHeight="1">
      <c r="A42" s="5" t="inlineStr"/>
      <c r="E42" s="5" t="inlineStr"/>
      <c r="H42" s="5" t="inlineStr"/>
      <c r="K42" s="5" t="inlineStr"/>
    </row>
    <row r="43" ht="18" customHeight="1">
      <c r="A43" s="43" t="inlineStr"/>
      <c r="E43" s="43" t="inlineStr"/>
      <c r="H43" s="43" t="inlineStr"/>
      <c r="K43" s="43" t="inlineStr"/>
    </row>
    <row r="45" ht="18" customHeight="1">
      <c r="A45" s="21" t="inlineStr">
        <is>
          <t>5. Observations &amp; points en suspens</t>
        </is>
      </c>
    </row>
    <row r="46" ht="60" customHeight="1">
      <c r="A46" s="35" t="inlineStr"/>
    </row>
    <row r="48" ht="18" customHeight="1">
      <c r="A48" s="25" t="inlineStr">
        <is>
          <t>Comptable
(préparé par)</t>
        </is>
      </c>
      <c r="E48" s="25" t="inlineStr">
        <is>
          <t>DFI
(validé par)</t>
        </is>
      </c>
      <c r="I48" s="25" t="inlineStr">
        <is>
          <t>Direction Générale
(information)</t>
        </is>
      </c>
    </row>
    <row r="49" ht="50" customHeight="1">
      <c r="A49" s="26" t="inlineStr"/>
      <c r="E49" s="26" t="inlineStr"/>
      <c r="I49" s="26" t="inlineStr"/>
    </row>
    <row r="51" ht="14" customHeight="1">
      <c r="A51" s="27" t="inlineStr">
        <is>
          <t>DOC-G-09 — Tableau de Réconciliation Mensuelle — KILIMA Holdings — Document interne confidentiel</t>
        </is>
      </c>
    </row>
  </sheetData>
  <mergeCells count="114">
    <mergeCell ref="E13:G13"/>
    <mergeCell ref="K40:M40"/>
    <mergeCell ref="D9:M9"/>
    <mergeCell ref="A20:D20"/>
    <mergeCell ref="E40:G40"/>
    <mergeCell ref="H17:J17"/>
    <mergeCell ref="E15:G15"/>
    <mergeCell ref="A13:D13"/>
    <mergeCell ref="A28:G28"/>
    <mergeCell ref="A26:L26"/>
    <mergeCell ref="H22:J22"/>
    <mergeCell ref="H19:J19"/>
    <mergeCell ref="A15:D15"/>
    <mergeCell ref="H27:M27"/>
    <mergeCell ref="A24:D24"/>
    <mergeCell ref="K17:M17"/>
    <mergeCell ref="E16:G16"/>
    <mergeCell ref="H33:M33"/>
    <mergeCell ref="E18:G18"/>
    <mergeCell ref="A41:D41"/>
    <mergeCell ref="A16:D16"/>
    <mergeCell ref="K16:M16"/>
    <mergeCell ref="H38:J38"/>
    <mergeCell ref="E42:G42"/>
    <mergeCell ref="A36:L36"/>
    <mergeCell ref="A6:L6"/>
    <mergeCell ref="H40:J40"/>
    <mergeCell ref="K20:M20"/>
    <mergeCell ref="E49:H49"/>
    <mergeCell ref="A42:D42"/>
    <mergeCell ref="H21:J21"/>
    <mergeCell ref="E20:G20"/>
    <mergeCell ref="A17:D17"/>
    <mergeCell ref="A22:D22"/>
    <mergeCell ref="K22:M22"/>
    <mergeCell ref="A19:D19"/>
    <mergeCell ref="A3:L3"/>
    <mergeCell ref="A12:L12"/>
    <mergeCell ref="H16:J16"/>
    <mergeCell ref="H32:M32"/>
    <mergeCell ref="K14:M14"/>
    <mergeCell ref="A34:G34"/>
    <mergeCell ref="A48:D48"/>
    <mergeCell ref="K23:M23"/>
    <mergeCell ref="A4:L4"/>
    <mergeCell ref="E48:H48"/>
    <mergeCell ref="E41:G41"/>
    <mergeCell ref="H42:J42"/>
    <mergeCell ref="A2:H2"/>
    <mergeCell ref="A31:L31"/>
    <mergeCell ref="K18:M18"/>
    <mergeCell ref="E43:G43"/>
    <mergeCell ref="H20:J20"/>
    <mergeCell ref="A46:M46"/>
    <mergeCell ref="E24:G24"/>
    <mergeCell ref="D7:M7"/>
    <mergeCell ref="E17:G17"/>
    <mergeCell ref="H34:M34"/>
    <mergeCell ref="A7:C7"/>
    <mergeCell ref="A32:G32"/>
    <mergeCell ref="E19:G19"/>
    <mergeCell ref="D8:M8"/>
    <mergeCell ref="I49:M49"/>
    <mergeCell ref="H13:J13"/>
    <mergeCell ref="H28:M28"/>
    <mergeCell ref="A39:D39"/>
    <mergeCell ref="K39:M39"/>
    <mergeCell ref="I2:L2"/>
    <mergeCell ref="A49:D49"/>
    <mergeCell ref="H15:J15"/>
    <mergeCell ref="K38:M38"/>
    <mergeCell ref="H24:J24"/>
    <mergeCell ref="E22:G22"/>
    <mergeCell ref="H18:J18"/>
    <mergeCell ref="K13:M13"/>
    <mergeCell ref="E37:G37"/>
    <mergeCell ref="E21:G21"/>
    <mergeCell ref="I48:M48"/>
    <mergeCell ref="K15:M15"/>
    <mergeCell ref="A37:D37"/>
    <mergeCell ref="K24:M24"/>
    <mergeCell ref="E14:G14"/>
    <mergeCell ref="A51:L51"/>
    <mergeCell ref="E23:G23"/>
    <mergeCell ref="A21:D21"/>
    <mergeCell ref="K21:M21"/>
    <mergeCell ref="H39:J39"/>
    <mergeCell ref="A14:D14"/>
    <mergeCell ref="A23:D23"/>
    <mergeCell ref="K41:M41"/>
    <mergeCell ref="A38:D38"/>
    <mergeCell ref="A43:D43"/>
    <mergeCell ref="A29:G29"/>
    <mergeCell ref="K43:M43"/>
    <mergeCell ref="A40:D40"/>
    <mergeCell ref="K42:M42"/>
    <mergeCell ref="A8:C8"/>
    <mergeCell ref="H37:J37"/>
    <mergeCell ref="D10:M10"/>
    <mergeCell ref="A10:C10"/>
    <mergeCell ref="K19:M19"/>
    <mergeCell ref="H14:J14"/>
    <mergeCell ref="K37:M37"/>
    <mergeCell ref="H23:J23"/>
    <mergeCell ref="A9:C9"/>
    <mergeCell ref="H43:J43"/>
    <mergeCell ref="H29:M29"/>
    <mergeCell ref="A18:D18"/>
    <mergeCell ref="A27:G27"/>
    <mergeCell ref="H41:J41"/>
    <mergeCell ref="E39:G39"/>
    <mergeCell ref="A45:L45"/>
    <mergeCell ref="A33:G33"/>
    <mergeCell ref="E38:G38"/>
  </mergeCells>
  <pageMargins left="0.5" right="0.5" top="0.6" bottom="0.6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2026-06-16T21:56:20Z</dcterms:created>
  <dcterms:modified xmlns:dcterms="http://purl.org/dc/terms/" xmlns:xsi="http://www.w3.org/2001/XMLSchema-instance" xsi:type="dcterms:W3CDTF">2026-06-16T21:56:20Z</dcterms:modified>
</cp:coreProperties>
</file>