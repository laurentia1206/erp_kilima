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KL01 - Fiche Course" sheetId="2" state="visible" r:id="rId2"/>
    <sheet xmlns:r="http://schemas.openxmlformats.org/officeDocument/2006/relationships" name="KL02 - Check-list Départ" sheetId="3" state="visible" r:id="rId3"/>
    <sheet xmlns:r="http://schemas.openxmlformats.org/officeDocument/2006/relationships" name="KL03 - Fiche Immobilisation" sheetId="4" state="visible" r:id="rId4"/>
    <sheet xmlns:r="http://schemas.openxmlformats.org/officeDocument/2006/relationships" name="KL04 - Tableau Disponibilité Fl" sheetId="5" state="visible" r:id="rId5"/>
    <sheet xmlns:r="http://schemas.openxmlformats.org/officeDocument/2006/relationships" name="KS01 - Bon Transfert Sites" sheetId="6" state="visible" r:id="rId6"/>
    <sheet xmlns:r="http://schemas.openxmlformats.org/officeDocument/2006/relationships" name="ST01 - Registre Stock Journalie" sheetId="7" state="visible" r:id="rId7"/>
    <sheet xmlns:r="http://schemas.openxmlformats.org/officeDocument/2006/relationships" name="ST02 - Fiche Inventaire" sheetId="8" state="visible" r:id="rId8"/>
    <sheet xmlns:r="http://schemas.openxmlformats.org/officeDocument/2006/relationships" name="ST03 - Recon Stock-Ventes" sheetId="9" state="visible" r:id="rId9"/>
    <sheet xmlns:r="http://schemas.openxmlformats.org/officeDocument/2006/relationships" name="ST04 - Stock Boissons GHR" sheetId="10" state="visible" r:id="rId10"/>
    <sheet xmlns:r="http://schemas.openxmlformats.org/officeDocument/2006/relationships" name="VT01 - Registre Ventes" sheetId="11" state="visible" r:id="rId11"/>
    <sheet xmlns:r="http://schemas.openxmlformats.org/officeDocument/2006/relationships" name="VT02 - Registre Hebergement" sheetId="12" state="visible" r:id="rId12"/>
    <sheet xmlns:r="http://schemas.openxmlformats.org/officeDocument/2006/relationships" name="VT03 - Registre Recus Manuels" sheetId="13" state="visible" r:id="rId13"/>
    <sheet xmlns:r="http://schemas.openxmlformats.org/officeDocument/2006/relationships" name="VT04 - Suivi Commandes DAKAM" sheetId="14" state="visible" r:id="rId14"/>
    <sheet xmlns:r="http://schemas.openxmlformats.org/officeDocument/2006/relationships" name="VT05 - Bordereau Consolide" sheetId="15" state="visible" r:id="rId15"/>
    <sheet xmlns:r="http://schemas.openxmlformats.org/officeDocument/2006/relationships" name="MT01 - Fiche Prestation HZ" sheetId="16" state="visible" r:id="rId16"/>
    <sheet xmlns:r="http://schemas.openxmlformats.org/officeDocument/2006/relationships" name="MT02 - Suivi Prestations HZ" sheetId="17" state="visible" r:id="rId17"/>
    <sheet xmlns:r="http://schemas.openxmlformats.org/officeDocument/2006/relationships" name="MT03 - Budget Dept Technique" sheetId="18" state="visible" r:id="rId18"/>
    <sheet xmlns:r="http://schemas.openxmlformats.org/officeDocument/2006/relationships" name="MT04 - Fiche Tech Camion" sheetId="19" state="visible" r:id="rId19"/>
  </sheets>
  <definedNames>
    <definedName name="_xlnm.Print_Area" localSheetId="1">'KL01 - Fiche Course'!$A$1:$L$46</definedName>
    <definedName name="_xlnm.Print_Area" localSheetId="2">'KL02 - Check-list Départ'!$A$1:$L$31</definedName>
    <definedName name="_xlnm.Print_Area" localSheetId="3">'KL03 - Fiche Immobilisation'!$A$1:$L$39</definedName>
    <definedName name="_xlnm.Print_Area" localSheetId="4">'KL04 - Tableau Disponibilité Fl'!$A$1:$L$33</definedName>
    <definedName name="_xlnm.Print_Area" localSheetId="5">'KS01 - Bon Transfert Sites'!$A$1:$L$36</definedName>
    <definedName name="_xlnm.Print_Area" localSheetId="6">'ST01 - Registre Stock Journalie'!$A$1:$L$31</definedName>
    <definedName name="_xlnm.Print_Area" localSheetId="7">'ST02 - Fiche Inventaire'!$A$1:$L$38</definedName>
    <definedName name="_xlnm.Print_Area" localSheetId="8">'ST03 - Recon Stock-Ventes'!$A$1:$L$36</definedName>
    <definedName name="_xlnm.Print_Area" localSheetId="9">'ST04 - Stock Boissons GHR'!$A$1:$L$33</definedName>
    <definedName name="_xlnm.Print_Area" localSheetId="10">'VT01 - Registre Ventes'!$A$1:$L$49</definedName>
    <definedName name="_xlnm.Print_Area" localSheetId="11">'VT02 - Registre Hebergement'!$A$1:$M$45</definedName>
    <definedName name="_xlnm.Print_Area" localSheetId="12">'VT03 - Registre Recus Manuels'!$A$1:$M$40</definedName>
    <definedName name="_xlnm.Print_Area" localSheetId="13">'VT04 - Suivi Commandes DAKAM'!$A$1:$M$36</definedName>
    <definedName name="_xlnm.Print_Area" localSheetId="14">'VT05 - Bordereau Consolide'!$A$1:$L$29</definedName>
    <definedName name="_xlnm.Print_Area" localSheetId="15">'MT01 - Fiche Prestation HZ'!$A$1:$L$38</definedName>
    <definedName name="_xlnm.Print_Area" localSheetId="16">'MT02 - Suivi Prestations HZ'!$A$1:$L$32</definedName>
    <definedName name="_xlnm.Print_Area" localSheetId="17">'MT03 - Budget Dept Technique'!$A$1:$N$39</definedName>
    <definedName name="_xlnm.Print_Area" localSheetId="18">'MT04 - Fiche Tech Camion'!$A$1:$L$45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3C3489"/>
      <sz val="9"/>
    </font>
    <font>
      <name val="Arial"/>
      <b val="1"/>
      <color rgb="00FFFFFF"/>
      <sz val="10"/>
    </font>
    <font>
      <name val="Arial"/>
      <color rgb="002C2C2A"/>
      <sz val="9"/>
    </font>
    <font>
      <name val="Arial"/>
      <b val="1"/>
      <color rgb="00FFFFFF"/>
      <sz val="9"/>
    </font>
    <font>
      <name val="Arial"/>
      <b val="1"/>
      <color rgb="000F6E56"/>
      <sz val="9"/>
    </font>
    <font>
      <name val="Arial"/>
      <b val="1"/>
      <color rgb="00854F0B"/>
      <sz val="9"/>
    </font>
    <font>
      <name val="Arial"/>
      <b val="1"/>
      <color rgb="003C3489"/>
      <sz val="9"/>
    </font>
    <font>
      <name val="Arial"/>
      <b val="1"/>
      <color rgb="00993C1D"/>
      <sz val="9"/>
    </font>
    <font>
      <name val="Arial"/>
      <b val="1"/>
      <color rgb="00FFFFFF"/>
      <sz val="12"/>
    </font>
    <font>
      <name val="Arial"/>
      <b val="1"/>
      <color rgb="00FAC775"/>
      <sz val="10"/>
    </font>
    <font>
      <name val="Arial"/>
      <b val="1"/>
      <color rgb="00FFFFFF"/>
      <sz val="11"/>
    </font>
    <font>
      <name val="Arial"/>
      <i val="1"/>
      <color rgb="000F6E56"/>
      <sz val="8"/>
    </font>
    <font>
      <name val="Arial"/>
      <b val="1"/>
      <color rgb="00FFFFFF"/>
      <sz val="8"/>
    </font>
    <font>
      <name val="Arial"/>
      <i val="1"/>
      <color rgb="005F5E5A"/>
      <sz val="7"/>
    </font>
    <font>
      <name val="Arial"/>
      <i val="1"/>
      <color rgb="00854F0B"/>
      <sz val="8"/>
    </font>
    <font>
      <name val="Arial"/>
      <b val="1"/>
      <color rgb="005F5E5A"/>
      <sz val="9"/>
    </font>
    <font>
      <name val="Arial"/>
      <b val="1"/>
      <color rgb="00A32D2D"/>
      <sz val="8"/>
    </font>
    <font>
      <name val="Arial"/>
      <i val="1"/>
      <color rgb="00993C1D"/>
      <sz val="8"/>
    </font>
    <font>
      <name val="Arial"/>
      <b val="1"/>
      <color rgb="002C2C2A"/>
      <sz val="11"/>
    </font>
    <font>
      <name val="Arial"/>
      <i val="1"/>
      <color rgb="00A32D2D"/>
      <sz val="9"/>
    </font>
    <font>
      <name val="Arial"/>
      <i val="1"/>
      <color rgb="003C3489"/>
      <sz val="8"/>
    </font>
    <font>
      <name val="Arial"/>
      <b val="1"/>
      <color rgb="003C3489"/>
      <sz val="11"/>
    </font>
    <font>
      <name val="Arial"/>
      <color rgb="005F5E5A"/>
      <sz val="8"/>
    </font>
    <font>
      <name val="Arial"/>
      <color rgb="003C3489"/>
      <sz val="9"/>
    </font>
    <font>
      <name val="Arial"/>
      <b val="1"/>
      <color rgb="00A32D2D"/>
      <sz val="9"/>
    </font>
    <font>
      <name val="Arial"/>
      <color rgb="002C2C2A"/>
      <sz val="8"/>
    </font>
    <font>
      <name val="Arial"/>
      <b val="1"/>
      <color rgb="00993C1D"/>
      <sz val="11"/>
    </font>
    <font>
      <name val="Arial"/>
      <i val="1"/>
      <color rgb="00A32D2D"/>
      <sz val="8"/>
    </font>
    <font>
      <name val="Arial"/>
      <i val="1"/>
      <color rgb="002C2C2A"/>
      <sz val="9"/>
    </font>
    <font>
      <name val="Arial"/>
      <b val="1"/>
      <color rgb="002C2C2A"/>
      <sz val="13"/>
    </font>
    <font>
      <name val="Arial"/>
      <b val="1"/>
      <color rgb="00854F0B"/>
      <sz val="12"/>
    </font>
    <font>
      <name val="Arial"/>
      <b val="1"/>
      <color rgb="000F6E56"/>
      <sz val="12"/>
    </font>
  </fonts>
  <fills count="17">
    <fill>
      <patternFill/>
    </fill>
    <fill>
      <patternFill patternType="gray125"/>
    </fill>
    <fill>
      <patternFill patternType="solid">
        <fgColor rgb="003C3489"/>
      </patternFill>
    </fill>
    <fill>
      <patternFill patternType="solid">
        <fgColor rgb="00EEEDFE"/>
      </patternFill>
    </fill>
    <fill>
      <patternFill patternType="solid">
        <fgColor rgb="000F6E56"/>
      </patternFill>
    </fill>
    <fill>
      <patternFill patternType="solid">
        <fgColor rgb="00E1F5EE"/>
      </patternFill>
    </fill>
    <fill>
      <patternFill patternType="solid">
        <fgColor rgb="00FFFFFF"/>
      </patternFill>
    </fill>
    <fill>
      <patternFill patternType="solid">
        <fgColor rgb="00854F0B"/>
      </patternFill>
    </fill>
    <fill>
      <patternFill patternType="solid">
        <fgColor rgb="00FAEEDA"/>
      </patternFill>
    </fill>
    <fill>
      <patternFill patternType="solid">
        <fgColor rgb="00993C1D"/>
      </patternFill>
    </fill>
    <fill>
      <patternFill patternType="solid">
        <fgColor rgb="00FAECE7"/>
      </patternFill>
    </fill>
    <fill>
      <patternFill patternType="solid">
        <fgColor rgb="00FFFACD"/>
      </patternFill>
    </fill>
    <fill>
      <patternFill patternType="solid">
        <fgColor rgb="00FAC775"/>
      </patternFill>
    </fill>
    <fill>
      <patternFill patternType="solid">
        <fgColor rgb="00F1EFE8"/>
      </patternFill>
    </fill>
    <fill>
      <patternFill patternType="solid">
        <fgColor rgb="005F5E5A"/>
      </patternFill>
    </fill>
    <fill>
      <patternFill patternType="solid">
        <fgColor rgb="00FCEBEB"/>
      </patternFill>
    </fill>
    <fill>
      <patternFill patternType="solid">
        <fgColor rgb="00A32D2D"/>
      </patternFill>
    </fill>
  </fills>
  <borders count="31">
    <border>
      <left/>
      <right/>
      <top/>
      <bottom/>
      <diagonal/>
    </border>
    <border>
      <left style="thin">
        <color rgb="000F6E56"/>
      </left>
      <right style="thin">
        <color rgb="000F6E56"/>
      </right>
      <top style="thin">
        <color rgb="000F6E56"/>
      </top>
      <bottom style="thin">
        <color rgb="000F6E56"/>
      </bottom>
    </border>
    <border>
      <left style="thin">
        <color rgb="00D3D1C7"/>
      </left>
      <right style="thin">
        <color rgb="00D3D1C7"/>
      </right>
      <top style="thin">
        <color rgb="00D3D1C7"/>
      </top>
      <bottom style="thin">
        <color rgb="00D3D1C7"/>
      </bottom>
    </border>
    <border>
      <left style="thin">
        <color rgb="003C3489"/>
      </left>
      <right style="thin">
        <color rgb="003C3489"/>
      </right>
      <top style="thin">
        <color rgb="003C3489"/>
      </top>
      <bottom style="thin">
        <color rgb="003C3489"/>
      </bottom>
    </border>
    <border>
      <left/>
      <right/>
      <top style="thin">
        <color rgb="00D3D1C7"/>
      </top>
      <bottom/>
      <diagonal/>
    </border>
    <border>
      <left/>
      <right style="thin">
        <color rgb="00D3D1C7"/>
      </right>
      <top style="thin">
        <color rgb="00D3D1C7"/>
      </top>
      <bottom/>
      <diagonal/>
    </border>
    <border>
      <left/>
      <right style="thin">
        <color rgb="00D3D1C7"/>
      </right>
      <top style="thin">
        <color rgb="00D3D1C7"/>
      </top>
      <bottom style="thin">
        <color rgb="00D3D1C7"/>
      </bottom>
      <diagonal/>
    </border>
    <border>
      <left style="thin">
        <color rgb="00993C1D"/>
      </left>
      <right style="thin">
        <color rgb="00993C1D"/>
      </right>
      <top style="thin">
        <color rgb="00993C1D"/>
      </top>
      <bottom style="thin">
        <color rgb="00993C1D"/>
      </bottom>
    </border>
    <border>
      <left style="thin">
        <color rgb="00854F0B"/>
      </left>
      <right style="thin">
        <color rgb="00854F0B"/>
      </right>
      <top style="thin">
        <color rgb="00854F0B"/>
      </top>
      <bottom style="thin">
        <color rgb="00854F0B"/>
      </bottom>
    </border>
    <border>
      <left style="thin">
        <color rgb="00A32D2D"/>
      </left>
      <right style="thin">
        <color rgb="00A32D2D"/>
      </right>
      <top style="thin">
        <color rgb="00A32D2D"/>
      </top>
      <bottom style="thin">
        <color rgb="00A32D2D"/>
      </bottom>
    </border>
    <border>
      <left/>
      <right/>
      <top style="thin">
        <color rgb="00D3D1C7"/>
      </top>
      <bottom style="thin">
        <color rgb="00D3D1C7"/>
      </bottom>
      <diagonal/>
    </border>
    <border>
      <left/>
      <right/>
      <top style="thin">
        <color rgb="003C3489"/>
      </top>
      <bottom/>
      <diagonal/>
    </border>
    <border>
      <left/>
      <right style="thin">
        <color rgb="003C3489"/>
      </right>
      <top style="thin">
        <color rgb="003C3489"/>
      </top>
      <bottom/>
      <diagonal/>
    </border>
    <border>
      <left/>
      <right/>
      <top style="thin">
        <color rgb="003C3489"/>
      </top>
      <bottom style="thin">
        <color rgb="003C3489"/>
      </bottom>
      <diagonal/>
    </border>
    <border>
      <left/>
      <right style="thin">
        <color rgb="003C3489"/>
      </right>
      <top style="thin">
        <color rgb="003C3489"/>
      </top>
      <bottom style="thin">
        <color rgb="003C3489"/>
      </bottom>
      <diagonal/>
    </border>
    <border>
      <left/>
      <right/>
      <top style="thin">
        <color rgb="000F6E56"/>
      </top>
      <bottom/>
      <diagonal/>
    </border>
    <border>
      <left/>
      <right style="thin">
        <color rgb="000F6E56"/>
      </right>
      <top style="thin">
        <color rgb="000F6E56"/>
      </top>
      <bottom/>
      <diagonal/>
    </border>
    <border>
      <left/>
      <right/>
      <top style="thin">
        <color rgb="000F6E56"/>
      </top>
      <bottom style="thin">
        <color rgb="000F6E56"/>
      </bottom>
      <diagonal/>
    </border>
    <border>
      <left/>
      <right style="thin">
        <color rgb="000F6E56"/>
      </right>
      <top style="thin">
        <color rgb="000F6E56"/>
      </top>
      <bottom style="thin">
        <color rgb="000F6E56"/>
      </bottom>
      <diagonal/>
    </border>
    <border>
      <left/>
      <right/>
      <top style="thin">
        <color rgb="00993C1D"/>
      </top>
      <bottom/>
      <diagonal/>
    </border>
    <border>
      <left/>
      <right style="thin">
        <color rgb="00993C1D"/>
      </right>
      <top style="thin">
        <color rgb="00993C1D"/>
      </top>
      <bottom/>
      <diagonal/>
    </border>
    <border>
      <left/>
      <right style="thin">
        <color rgb="00993C1D"/>
      </right>
      <top style="thin">
        <color rgb="00993C1D"/>
      </top>
      <bottom style="thin">
        <color rgb="00993C1D"/>
      </bottom>
      <diagonal/>
    </border>
    <border>
      <left/>
      <right/>
      <top style="thin">
        <color rgb="00A32D2D"/>
      </top>
      <bottom/>
      <diagonal/>
    </border>
    <border>
      <left/>
      <right style="thin">
        <color rgb="00A32D2D"/>
      </right>
      <top style="thin">
        <color rgb="00A32D2D"/>
      </top>
      <bottom/>
      <diagonal/>
    </border>
    <border>
      <left/>
      <right/>
      <top style="thin">
        <color rgb="00A32D2D"/>
      </top>
      <bottom style="thin">
        <color rgb="00A32D2D"/>
      </bottom>
      <diagonal/>
    </border>
    <border>
      <left/>
      <right style="thin">
        <color rgb="00A32D2D"/>
      </right>
      <top style="thin">
        <color rgb="00A32D2D"/>
      </top>
      <bottom style="thin">
        <color rgb="00A32D2D"/>
      </bottom>
      <diagonal/>
    </border>
    <border>
      <left/>
      <right/>
      <top style="thin">
        <color rgb="00854F0B"/>
      </top>
      <bottom/>
      <diagonal/>
    </border>
    <border>
      <left/>
      <right style="thin">
        <color rgb="00854F0B"/>
      </right>
      <top style="thin">
        <color rgb="00854F0B"/>
      </top>
      <bottom/>
      <diagonal/>
    </border>
    <border>
      <left/>
      <right style="thin">
        <color rgb="00854F0B"/>
      </right>
      <top style="thin">
        <color rgb="00854F0B"/>
      </top>
      <bottom style="thin">
        <color rgb="00854F0B"/>
      </bottom>
      <diagonal/>
    </border>
    <border>
      <left/>
      <right/>
      <top style="thin">
        <color rgb="00854F0B"/>
      </top>
      <bottom style="thin">
        <color rgb="00854F0B"/>
      </bottom>
      <diagonal/>
    </border>
    <border>
      <left/>
      <right/>
      <top style="thin">
        <color rgb="00993C1D"/>
      </top>
      <bottom style="thin">
        <color rgb="00993C1D"/>
      </bottom>
      <diagonal/>
    </border>
  </borders>
  <cellStyleXfs count="1">
    <xf numFmtId="0" fontId="0" fillId="0" borderId="0"/>
  </cellStyleXfs>
  <cellXfs count="1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4" fillId="7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left" vertical="center" wrapText="1"/>
    </xf>
    <xf numFmtId="0" fontId="4" fillId="9" borderId="0" applyAlignment="1" pivotButton="0" quotePrefix="0" xfId="0">
      <alignment horizontal="left" vertical="center" wrapText="1"/>
    </xf>
    <xf numFmtId="0" fontId="5" fillId="9" borderId="0" applyAlignment="1" pivotButton="0" quotePrefix="0" xfId="0">
      <alignment horizontal="left" vertical="center" wrapText="1"/>
    </xf>
    <xf numFmtId="0" fontId="4" fillId="10" borderId="2" applyAlignment="1" pivotButton="0" quotePrefix="0" xfId="0">
      <alignment horizontal="center" vertical="center" wrapText="1"/>
    </xf>
    <xf numFmtId="0" fontId="9" fillId="10" borderId="2" applyAlignment="1" pivotButton="0" quotePrefix="0" xfId="0">
      <alignment horizontal="left" vertical="center" wrapText="1"/>
    </xf>
    <xf numFmtId="0" fontId="4" fillId="10" borderId="2" applyAlignment="1" pivotButton="0" quotePrefix="0" xfId="0">
      <alignment horizontal="left" vertical="center" wrapText="1"/>
    </xf>
    <xf numFmtId="0" fontId="9" fillId="6" borderId="2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right" vertical="center" wrapText="1"/>
    </xf>
    <xf numFmtId="0" fontId="12" fillId="4" borderId="0" applyAlignment="1" pivotButton="0" quotePrefix="0" xfId="0">
      <alignment horizontal="center" vertical="center" wrapText="1"/>
    </xf>
    <xf numFmtId="0" fontId="13" fillId="5" borderId="0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left" vertical="center" wrapText="1"/>
    </xf>
    <xf numFmtId="0" fontId="4" fillId="11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left" vertical="center" wrapText="1"/>
    </xf>
    <xf numFmtId="0" fontId="8" fillId="12" borderId="2" applyAlignment="1" pivotButton="0" quotePrefix="0" xfId="0">
      <alignment horizontal="left" vertical="center" wrapText="1"/>
    </xf>
    <xf numFmtId="0" fontId="8" fillId="10" borderId="2" applyAlignment="1" pivotButton="0" quotePrefix="0" xfId="0">
      <alignment horizontal="left" vertical="center" wrapText="1"/>
    </xf>
    <xf numFmtId="0" fontId="14" fillId="2" borderId="3" applyAlignment="1" pivotButton="0" quotePrefix="0" xfId="0">
      <alignment horizontal="center" vertical="center" wrapText="1"/>
    </xf>
    <xf numFmtId="0" fontId="4" fillId="13" borderId="2" applyAlignment="1" pivotButton="0" quotePrefix="0" xfId="0">
      <alignment horizontal="left" vertical="center" wrapText="1"/>
    </xf>
    <xf numFmtId="0" fontId="15" fillId="13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14" fillId="4" borderId="1" applyAlignment="1" pivotButton="0" quotePrefix="0" xfId="0">
      <alignment horizontal="center" vertical="center" wrapText="1"/>
    </xf>
    <xf numFmtId="0" fontId="4" fillId="11" borderId="2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center" vertical="center" wrapText="1"/>
    </xf>
    <xf numFmtId="0" fontId="16" fillId="8" borderId="0" applyAlignment="1" pivotButton="0" quotePrefix="0" xfId="0">
      <alignment horizontal="center" vertical="center" wrapText="1"/>
    </xf>
    <xf numFmtId="0" fontId="4" fillId="13" borderId="2" applyAlignment="1" pivotButton="0" quotePrefix="0" xfId="0">
      <alignment horizontal="center" vertical="center" wrapText="1"/>
    </xf>
    <xf numFmtId="0" fontId="0" fillId="0" borderId="6" pivotButton="0" quotePrefix="0" xfId="0"/>
    <xf numFmtId="0" fontId="5" fillId="14" borderId="0" applyAlignment="1" pivotButton="0" quotePrefix="0" xfId="0">
      <alignment horizontal="left" vertical="center" wrapText="1"/>
    </xf>
    <xf numFmtId="0" fontId="17" fillId="5" borderId="0" applyAlignment="1" pivotButton="0" quotePrefix="0" xfId="0">
      <alignment horizontal="left" vertical="center" wrapText="1"/>
    </xf>
    <xf numFmtId="0" fontId="17" fillId="8" borderId="0" applyAlignment="1" pivotButton="0" quotePrefix="0" xfId="0">
      <alignment horizontal="left" vertical="center" wrapText="1"/>
    </xf>
    <xf numFmtId="0" fontId="17" fillId="10" borderId="0" applyAlignment="1" pivotButton="0" quotePrefix="0" xfId="0">
      <alignment horizontal="left" vertical="center" wrapText="1"/>
    </xf>
    <xf numFmtId="0" fontId="17" fillId="15" borderId="0" applyAlignment="1" pivotButton="0" quotePrefix="0" xfId="0">
      <alignment horizontal="left" vertical="center" wrapText="1"/>
    </xf>
    <xf numFmtId="0" fontId="18" fillId="15" borderId="0" applyAlignment="1" pivotButton="0" quotePrefix="0" xfId="0">
      <alignment horizontal="center" vertical="center" wrapText="1"/>
    </xf>
    <xf numFmtId="0" fontId="12" fillId="9" borderId="0" applyAlignment="1" pivotButton="0" quotePrefix="0" xfId="0">
      <alignment horizontal="center" vertical="center" wrapText="1"/>
    </xf>
    <xf numFmtId="0" fontId="19" fillId="10" borderId="0" applyAlignment="1" pivotButton="0" quotePrefix="0" xfId="0">
      <alignment horizontal="center" vertical="center" wrapText="1"/>
    </xf>
    <xf numFmtId="0" fontId="14" fillId="9" borderId="7" applyAlignment="1" pivotButton="0" quotePrefix="0" xfId="0">
      <alignment horizontal="center" vertical="center" wrapText="1"/>
    </xf>
    <xf numFmtId="0" fontId="9" fillId="10" borderId="0" applyAlignment="1" pivotButton="0" quotePrefix="0" xfId="0">
      <alignment horizontal="right" vertical="center" wrapText="1"/>
    </xf>
    <xf numFmtId="0" fontId="20" fillId="11" borderId="7" applyAlignment="1" pivotButton="0" quotePrefix="0" xfId="0">
      <alignment horizontal="center" vertical="center" wrapText="1"/>
    </xf>
    <xf numFmtId="0" fontId="14" fillId="7" borderId="8" applyAlignment="1" pivotButton="0" quotePrefix="0" xfId="0">
      <alignment horizontal="center" vertical="center" wrapText="1"/>
    </xf>
    <xf numFmtId="0" fontId="5" fillId="16" borderId="0" applyAlignment="1" pivotButton="0" quotePrefix="0" xfId="0">
      <alignment horizontal="left" vertical="center" wrapText="1"/>
    </xf>
    <xf numFmtId="0" fontId="21" fillId="15" borderId="0" applyAlignment="1" pivotButton="0" quotePrefix="0" xfId="0">
      <alignment horizontal="left" vertical="center" wrapText="1"/>
    </xf>
    <xf numFmtId="0" fontId="4" fillId="11" borderId="9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 wrapText="1"/>
    </xf>
    <xf numFmtId="0" fontId="22" fillId="3" borderId="0" applyAlignment="1" pivotButton="0" quotePrefix="0" xfId="0">
      <alignment horizontal="center" vertical="center" wrapText="1"/>
    </xf>
    <xf numFmtId="4" fontId="4" fillId="6" borderId="2" applyAlignment="1" pivotButton="0" quotePrefix="0" xfId="0">
      <alignment horizontal="left" vertical="center" wrapText="1"/>
    </xf>
    <xf numFmtId="4" fontId="4" fillId="3" borderId="2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4" fontId="23" fillId="3" borderId="3" applyAlignment="1" pivotButton="0" quotePrefix="0" xfId="0">
      <alignment horizontal="center" vertical="center" wrapText="1"/>
    </xf>
    <xf numFmtId="0" fontId="24" fillId="13" borderId="0" applyAlignment="1" pivotButton="0" quotePrefix="0" xfId="0">
      <alignment horizontal="center" vertical="center" wrapText="1"/>
    </xf>
    <xf numFmtId="2" fontId="4" fillId="15" borderId="2" applyAlignment="1" pivotButton="0" quotePrefix="0" xfId="0">
      <alignment horizontal="left" vertical="center" wrapText="1"/>
    </xf>
    <xf numFmtId="164" fontId="4" fillId="6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left" vertical="center" wrapText="1"/>
    </xf>
    <xf numFmtId="0" fontId="25" fillId="3" borderId="2" applyAlignment="1" pivotButton="0" quotePrefix="0" xfId="0">
      <alignment horizontal="left" vertical="center" wrapText="1"/>
    </xf>
    <xf numFmtId="0" fontId="20" fillId="11" borderId="3" applyAlignment="1" pivotButton="0" quotePrefix="0" xfId="0">
      <alignment horizontal="center" vertical="center" wrapText="1"/>
    </xf>
    <xf numFmtId="0" fontId="26" fillId="15" borderId="2" applyAlignment="1" pivotButton="0" quotePrefix="0" xfId="0">
      <alignment horizontal="left" vertical="center" wrapText="1"/>
    </xf>
    <xf numFmtId="1" fontId="4" fillId="15" borderId="9" applyAlignment="1" pivotButton="0" quotePrefix="0" xfId="0">
      <alignment horizontal="left" vertical="center" wrapText="1"/>
    </xf>
    <xf numFmtId="0" fontId="27" fillId="6" borderId="2" applyAlignment="1" pivotButton="0" quotePrefix="0" xfId="0">
      <alignment horizontal="center" vertical="center" wrapText="1"/>
    </xf>
    <xf numFmtId="0" fontId="27" fillId="3" borderId="2" applyAlignment="1" pivotButton="0" quotePrefix="0" xfId="0">
      <alignment horizontal="center" vertical="center" wrapText="1"/>
    </xf>
    <xf numFmtId="0" fontId="4" fillId="13" borderId="0" applyAlignment="1" pivotButton="0" quotePrefix="0" xfId="0">
      <alignment horizontal="left" vertical="center" wrapText="1"/>
    </xf>
    <xf numFmtId="0" fontId="5" fillId="9" borderId="0" applyAlignment="1" pivotButton="0" quotePrefix="0" xfId="0">
      <alignment horizontal="right" vertical="center" wrapText="1"/>
    </xf>
    <xf numFmtId="4" fontId="28" fillId="10" borderId="7" applyAlignment="1" pivotButton="0" quotePrefix="0" xfId="0">
      <alignment horizontal="center" vertical="center" wrapText="1"/>
    </xf>
    <xf numFmtId="0" fontId="29" fillId="15" borderId="0" applyAlignment="1" pivotButton="0" quotePrefix="0" xfId="0">
      <alignment horizontal="center" vertical="center" wrapText="1"/>
    </xf>
    <xf numFmtId="0" fontId="20" fillId="11" borderId="8" applyAlignment="1" pivotButton="0" quotePrefix="0" xfId="0">
      <alignment horizontal="center" vertical="center" wrapText="1"/>
    </xf>
    <xf numFmtId="0" fontId="30" fillId="6" borderId="2" applyAlignment="1" pivotButton="0" quotePrefix="0" xfId="0">
      <alignment horizontal="left" vertical="center" wrapText="1"/>
    </xf>
    <xf numFmtId="0" fontId="30" fillId="8" borderId="2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right" vertical="center" wrapText="1"/>
    </xf>
    <xf numFmtId="0" fontId="31" fillId="11" borderId="8" applyAlignment="1" pivotButton="0" quotePrefix="0" xfId="0">
      <alignment horizontal="center" vertical="center" wrapText="1"/>
    </xf>
    <xf numFmtId="0" fontId="27" fillId="13" borderId="0" applyAlignment="1" pivotButton="0" quotePrefix="0" xfId="0">
      <alignment horizontal="center" vertical="center" wrapText="1"/>
    </xf>
    <xf numFmtId="2" fontId="4" fillId="6" borderId="2" applyAlignment="1" pivotButton="0" quotePrefix="0" xfId="0">
      <alignment horizontal="center" vertical="center" wrapText="1"/>
    </xf>
    <xf numFmtId="0" fontId="4" fillId="8" borderId="8" applyAlignment="1" pivotButton="0" quotePrefix="0" xfId="0">
      <alignment horizontal="left" vertical="center" wrapText="1"/>
    </xf>
    <xf numFmtId="2" fontId="4" fillId="8" borderId="2" applyAlignment="1" pivotButton="0" quotePrefix="0" xfId="0">
      <alignment horizontal="center" vertical="center" wrapText="1"/>
    </xf>
    <xf numFmtId="4" fontId="4" fillId="8" borderId="2" applyAlignment="1" pivotButton="0" quotePrefix="0" xfId="0">
      <alignment horizontal="left" vertical="center" wrapText="1"/>
    </xf>
    <xf numFmtId="4" fontId="32" fillId="8" borderId="8" applyAlignment="1" pivotButton="0" quotePrefix="0" xfId="0">
      <alignment horizontal="center" vertical="center" wrapText="1"/>
    </xf>
    <xf numFmtId="164" fontId="4" fillId="8" borderId="2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right" vertical="center" wrapText="1"/>
    </xf>
    <xf numFmtId="4" fontId="33" fillId="5" borderId="1" applyAlignment="1" pivotButton="0" quotePrefix="0" xfId="0">
      <alignment horizontal="center" vertical="center" wrapText="1"/>
    </xf>
    <xf numFmtId="4" fontId="4" fillId="11" borderId="2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21" pivotButton="0" quotePrefix="0" xfId="0"/>
    <xf numFmtId="0" fontId="0" fillId="0" borderId="28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9" pivotButton="0" quotePrefix="0" xfId="0"/>
    <xf numFmtId="0" fontId="0" fillId="0" borderId="3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8" customWidth="1" min="3" max="3"/>
    <col width="18" customWidth="1" min="4" max="4"/>
    <col width="18" customWidth="1" min="5" max="5"/>
    <col width="14" customWidth="1" min="6" max="6"/>
  </cols>
  <sheetData>
    <row r="1" ht="8" customHeight="1"/>
    <row r="2" ht="30" customHeight="1">
      <c r="A2" s="1" t="inlineStr">
        <is>
          <t>KILIMA Holdings — Documents Standardisés Spécifiques par Entité</t>
        </is>
      </c>
    </row>
    <row r="3" ht="16" customHeight="1">
      <c r="A3" s="2" t="inlineStr">
        <is>
          <t>19 documents — 4 familles — Version 1.0 — Juin 2025</t>
        </is>
      </c>
    </row>
    <row r="4" ht="8" customHeight="1"/>
    <row r="5" ht="22" customHeight="1">
      <c r="A5" s="3" t="inlineStr">
        <is>
          <t>N°</t>
        </is>
      </c>
      <c r="B5" s="3" t="inlineStr">
        <is>
          <t>Réf.</t>
        </is>
      </c>
      <c r="C5" s="3" t="inlineStr">
        <is>
          <t>Intitulé</t>
        </is>
      </c>
      <c r="D5" s="3" t="inlineStr">
        <is>
          <t>Entité(s)</t>
        </is>
      </c>
      <c r="E5" s="3" t="inlineStr">
        <is>
          <t>Fréquence</t>
        </is>
      </c>
      <c r="F5" s="3" t="inlineStr">
        <is>
          <t>Tenu par</t>
        </is>
      </c>
    </row>
    <row r="6" ht="16" customHeight="1">
      <c r="A6" s="4" t="inlineStr"/>
      <c r="B6" s="5" t="inlineStr">
        <is>
          <t>— FAMILLE 1 : LOGISTIQUE &amp; TRANSPORT —</t>
        </is>
      </c>
    </row>
    <row r="7" ht="20" customHeight="1">
      <c r="A7" s="6" t="inlineStr">
        <is>
          <t>1</t>
        </is>
      </c>
      <c r="B7" s="7" t="inlineStr">
        <is>
          <t>DOC-KL-01</t>
        </is>
      </c>
      <c r="C7" s="8" t="inlineStr">
        <is>
          <t>Fiche de Course Journalière</t>
        </is>
      </c>
      <c r="D7" s="8" t="inlineStr">
        <is>
          <t>KAKO Logistique</t>
        </is>
      </c>
      <c r="E7" s="8" t="inlineStr">
        <is>
          <t>Par course</t>
        </is>
      </c>
      <c r="F7" s="8" t="inlineStr">
        <is>
          <t>Ass. Tech. Vinciane</t>
        </is>
      </c>
    </row>
    <row r="8" ht="20" customHeight="1">
      <c r="A8" s="9" t="inlineStr">
        <is>
          <t>2</t>
        </is>
      </c>
      <c r="B8" s="10" t="inlineStr">
        <is>
          <t>DOC-KL-02</t>
        </is>
      </c>
      <c r="C8" s="11" t="inlineStr">
        <is>
          <t>Check-list Départ Camion</t>
        </is>
      </c>
      <c r="D8" s="11" t="inlineStr">
        <is>
          <t>KAKO Logistique</t>
        </is>
      </c>
      <c r="E8" s="11" t="inlineStr">
        <is>
          <t>Par course</t>
        </is>
      </c>
      <c r="F8" s="11" t="inlineStr">
        <is>
          <t>Ass. Tech. Vinciane</t>
        </is>
      </c>
    </row>
    <row r="9" ht="20" customHeight="1">
      <c r="A9" s="6" t="inlineStr">
        <is>
          <t>3</t>
        </is>
      </c>
      <c r="B9" s="7" t="inlineStr">
        <is>
          <t>DOC-KL-03</t>
        </is>
      </c>
      <c r="C9" s="8" t="inlineStr">
        <is>
          <t>Fiche d'Immobilisation / Remise en Service</t>
        </is>
      </c>
      <c r="D9" s="8" t="inlineStr">
        <is>
          <t>KAKO Logistique</t>
        </is>
      </c>
      <c r="E9" s="8" t="inlineStr">
        <is>
          <t>Sur besoin</t>
        </is>
      </c>
      <c r="F9" s="8" t="inlineStr">
        <is>
          <t>Ass. Tech. Vinciane</t>
        </is>
      </c>
    </row>
    <row r="10" ht="20" customHeight="1">
      <c r="A10" s="9" t="inlineStr">
        <is>
          <t>4</t>
        </is>
      </c>
      <c r="B10" s="10" t="inlineStr">
        <is>
          <t>DOC-KL-04</t>
        </is>
      </c>
      <c r="C10" s="11" t="inlineStr">
        <is>
          <t>Tableau de Disponibilité de la Flotte</t>
        </is>
      </c>
      <c r="D10" s="11" t="inlineStr">
        <is>
          <t>KAKO Logistique</t>
        </is>
      </c>
      <c r="E10" s="11" t="inlineStr">
        <is>
          <t>En continu</t>
        </is>
      </c>
      <c r="F10" s="11" t="inlineStr">
        <is>
          <t>Dispatcher / Vinciane</t>
        </is>
      </c>
    </row>
    <row r="11" ht="20" customHeight="1">
      <c r="A11" s="6" t="inlineStr">
        <is>
          <t>5</t>
        </is>
      </c>
      <c r="B11" s="7" t="inlineStr">
        <is>
          <t>DOC-KS-01</t>
        </is>
      </c>
      <c r="C11" s="8" t="inlineStr">
        <is>
          <t>Bon de Transfert Inter-Sites</t>
        </is>
      </c>
      <c r="D11" s="8" t="inlineStr">
        <is>
          <t>KAKO Sarl</t>
        </is>
      </c>
      <c r="E11" s="8" t="inlineStr">
        <is>
          <t>Sur besoin exceptionnel</t>
        </is>
      </c>
      <c r="F11" s="8" t="inlineStr">
        <is>
          <t>Comptable du site cédant</t>
        </is>
      </c>
    </row>
    <row r="12" ht="16" customHeight="1">
      <c r="A12" s="12" t="inlineStr"/>
      <c r="B12" s="13" t="inlineStr">
        <is>
          <t>— FAMILLE 2 : STOCK &amp; INVENTAIRE —</t>
        </is>
      </c>
    </row>
    <row r="13" ht="20" customHeight="1">
      <c r="A13" s="9" t="inlineStr">
        <is>
          <t>6</t>
        </is>
      </c>
      <c r="B13" s="14" t="inlineStr">
        <is>
          <t>DOC-ST-01</t>
        </is>
      </c>
      <c r="C13" s="11" t="inlineStr">
        <is>
          <t>Registre de Stock Journalier</t>
        </is>
      </c>
      <c r="D13" s="11" t="inlineStr">
        <is>
          <t>KAKO Sarl (2 sites)</t>
        </is>
      </c>
      <c r="E13" s="11" t="inlineStr">
        <is>
          <t>Quotidien</t>
        </is>
      </c>
      <c r="F13" s="11" t="inlineStr">
        <is>
          <t>Responsable PV / Vendeur</t>
        </is>
      </c>
    </row>
    <row r="14" ht="20" customHeight="1">
      <c r="A14" s="15" t="inlineStr">
        <is>
          <t>7</t>
        </is>
      </c>
      <c r="B14" s="16" t="inlineStr">
        <is>
          <t>DOC-ST-02</t>
        </is>
      </c>
      <c r="C14" s="17" t="inlineStr">
        <is>
          <t>Fiche d'Inventaire Physique Hebdo</t>
        </is>
      </c>
      <c r="D14" s="17" t="inlineStr">
        <is>
          <t>KAKO Sarl / GHR</t>
        </is>
      </c>
      <c r="E14" s="17" t="inlineStr">
        <is>
          <t>Hebdo (vendredi soir)</t>
        </is>
      </c>
      <c r="F14" s="17" t="inlineStr">
        <is>
          <t>Responsable PV + Comptable</t>
        </is>
      </c>
    </row>
    <row r="15" ht="20" customHeight="1">
      <c r="A15" s="9" t="inlineStr">
        <is>
          <t>8</t>
        </is>
      </c>
      <c r="B15" s="14" t="inlineStr">
        <is>
          <t>DOC-ST-03</t>
        </is>
      </c>
      <c r="C15" s="11" t="inlineStr">
        <is>
          <t>Tableau Réconciliation Stock/Ventes</t>
        </is>
      </c>
      <c r="D15" s="11" t="inlineStr">
        <is>
          <t>KAKO Sarl / GHR</t>
        </is>
      </c>
      <c r="E15" s="11" t="inlineStr">
        <is>
          <t>Hebdo (lundi)</t>
        </is>
      </c>
      <c r="F15" s="11" t="inlineStr">
        <is>
          <t>Comptable du site</t>
        </is>
      </c>
    </row>
    <row r="16" ht="20" customHeight="1">
      <c r="A16" s="15" t="inlineStr">
        <is>
          <t>9</t>
        </is>
      </c>
      <c r="B16" s="16" t="inlineStr">
        <is>
          <t>DOC-ST-04</t>
        </is>
      </c>
      <c r="C16" s="17" t="inlineStr">
        <is>
          <t>Registre de Stock Boissons</t>
        </is>
      </c>
      <c r="D16" s="17" t="inlineStr">
        <is>
          <t>Guest House Relax</t>
        </is>
      </c>
      <c r="E16" s="17" t="inlineStr">
        <is>
          <t>En continu</t>
        </is>
      </c>
      <c r="F16" s="17" t="inlineStr">
        <is>
          <t>Responsable bar / Intendant</t>
        </is>
      </c>
    </row>
    <row r="17" ht="16" customHeight="1">
      <c r="A17" s="18" t="inlineStr"/>
      <c r="B17" s="19" t="inlineStr">
        <is>
          <t>— FAMILLE 3 : VENTES &amp; FACTURATION —</t>
        </is>
      </c>
    </row>
    <row r="18" ht="20" customHeight="1">
      <c r="A18" s="9" t="inlineStr">
        <is>
          <t>10</t>
        </is>
      </c>
      <c r="B18" s="20" t="inlineStr">
        <is>
          <t>DOC-VT-01</t>
        </is>
      </c>
      <c r="C18" s="11" t="inlineStr">
        <is>
          <t>Registre des Ventes Retail Journalier</t>
        </is>
      </c>
      <c r="D18" s="11" t="inlineStr">
        <is>
          <t>KAKO Sarl / GHR</t>
        </is>
      </c>
      <c r="E18" s="11" t="inlineStr">
        <is>
          <t>Quotidien</t>
        </is>
      </c>
      <c r="F18" s="11" t="inlineStr">
        <is>
          <t>Vendeur / Commis caisse</t>
        </is>
      </c>
    </row>
    <row r="19" ht="20" customHeight="1">
      <c r="A19" s="21" t="inlineStr">
        <is>
          <t>11</t>
        </is>
      </c>
      <c r="B19" s="22" t="inlineStr">
        <is>
          <t>DOC-VT-02</t>
        </is>
      </c>
      <c r="C19" s="23" t="inlineStr">
        <is>
          <t>Registre d'Hébergement GHR</t>
        </is>
      </c>
      <c r="D19" s="23" t="inlineStr">
        <is>
          <t>Guest House Relax</t>
        </is>
      </c>
      <c r="E19" s="23" t="inlineStr">
        <is>
          <t>Quotidien</t>
        </is>
      </c>
      <c r="F19" s="23" t="inlineStr">
        <is>
          <t>Réceptionniste</t>
        </is>
      </c>
    </row>
    <row r="20" ht="20" customHeight="1">
      <c r="A20" s="9" t="inlineStr">
        <is>
          <t>12</t>
        </is>
      </c>
      <c r="B20" s="20" t="inlineStr">
        <is>
          <t>DOC-VT-03</t>
        </is>
      </c>
      <c r="C20" s="11" t="inlineStr">
        <is>
          <t>Registre des Reçus Manuels GHR</t>
        </is>
      </c>
      <c r="D20" s="11" t="inlineStr">
        <is>
          <t>Guest House Relax</t>
        </is>
      </c>
      <c r="E20" s="11" t="inlineStr">
        <is>
          <t>Quotidien</t>
        </is>
      </c>
      <c r="F20" s="11" t="inlineStr">
        <is>
          <t>Réceptionniste</t>
        </is>
      </c>
    </row>
    <row r="21" ht="20" customHeight="1">
      <c r="A21" s="21" t="inlineStr">
        <is>
          <t>13</t>
        </is>
      </c>
      <c r="B21" s="22" t="inlineStr">
        <is>
          <t>DOC-VT-04</t>
        </is>
      </c>
      <c r="C21" s="23" t="inlineStr">
        <is>
          <t>Tableau Suivi Commandes DAKAM</t>
        </is>
      </c>
      <c r="D21" s="23" t="inlineStr">
        <is>
          <t>DAKAM Sarl</t>
        </is>
      </c>
      <c r="E21" s="23" t="inlineStr">
        <is>
          <t>En continu</t>
        </is>
      </c>
      <c r="F21" s="23" t="inlineStr">
        <is>
          <t>Jacques MALIGIJA</t>
        </is>
      </c>
    </row>
    <row r="22" ht="20" customHeight="1">
      <c r="A22" s="9" t="inlineStr">
        <is>
          <t>14</t>
        </is>
      </c>
      <c r="B22" s="20" t="inlineStr">
        <is>
          <t>DOC-VT-05</t>
        </is>
      </c>
      <c r="C22" s="11" t="inlineStr">
        <is>
          <t>Bordereau Consolidé GHR du Soir</t>
        </is>
      </c>
      <c r="D22" s="11" t="inlineStr">
        <is>
          <t>Guest House Relax</t>
        </is>
      </c>
      <c r="E22" s="11" t="inlineStr">
        <is>
          <t>Quotidien (22h)</t>
        </is>
      </c>
      <c r="F22" s="11" t="inlineStr">
        <is>
          <t>Agent centralisateur GHR</t>
        </is>
      </c>
    </row>
    <row r="23" ht="16" customHeight="1">
      <c r="A23" s="24" t="inlineStr"/>
      <c r="B23" s="25" t="inlineStr">
        <is>
          <t>— FAMILLE 4 : MAINTENANCE &amp; TECHNIQUE —</t>
        </is>
      </c>
    </row>
    <row r="24" ht="20" customHeight="1">
      <c r="A24" s="26" t="inlineStr">
        <is>
          <t>15</t>
        </is>
      </c>
      <c r="B24" s="27" t="inlineStr">
        <is>
          <t>DOC-MT-01</t>
        </is>
      </c>
      <c r="C24" s="28" t="inlineStr">
        <is>
          <t>Fiche de Prestation Journalière HORIZON</t>
        </is>
      </c>
      <c r="D24" s="28" t="inlineStr">
        <is>
          <t>Ets HORIZON</t>
        </is>
      </c>
      <c r="E24" s="28" t="inlineStr">
        <is>
          <t>Par jour de prestation</t>
        </is>
      </c>
      <c r="F24" s="28" t="inlineStr">
        <is>
          <t>Dispatch terrain</t>
        </is>
      </c>
    </row>
    <row r="25" ht="20" customHeight="1">
      <c r="A25" s="9" t="inlineStr">
        <is>
          <t>16</t>
        </is>
      </c>
      <c r="B25" s="29" t="inlineStr">
        <is>
          <t>DOC-MT-02</t>
        </is>
      </c>
      <c r="C25" s="11" t="inlineStr">
        <is>
          <t>Tableau Suivi des Prestations HORIZON</t>
        </is>
      </c>
      <c r="D25" s="11" t="inlineStr">
        <is>
          <t>Ets HORIZON</t>
        </is>
      </c>
      <c r="E25" s="11" t="inlineStr">
        <is>
          <t>En continu (quotidien)</t>
        </is>
      </c>
      <c r="F25" s="11" t="inlineStr">
        <is>
          <t>Ass. Tech. Vinciane</t>
        </is>
      </c>
    </row>
    <row r="26" ht="20" customHeight="1">
      <c r="A26" s="26" t="inlineStr">
        <is>
          <t>17</t>
        </is>
      </c>
      <c r="B26" s="27" t="inlineStr">
        <is>
          <t>DOC-MT-03</t>
        </is>
      </c>
      <c r="C26" s="28" t="inlineStr">
        <is>
          <t>Tableau Budget Département Technique</t>
        </is>
      </c>
      <c r="D26" s="28" t="inlineStr">
        <is>
          <t>Ets HORIZON</t>
        </is>
      </c>
      <c r="E26" s="28" t="inlineStr">
        <is>
          <t>Après chaque dépense</t>
        </is>
      </c>
      <c r="F26" s="28" t="inlineStr">
        <is>
          <t>Ass. Tech. Vinciane</t>
        </is>
      </c>
    </row>
    <row r="27" ht="20" customHeight="1">
      <c r="A27" s="9" t="inlineStr">
        <is>
          <t>18</t>
        </is>
      </c>
      <c r="B27" s="29" t="inlineStr">
        <is>
          <t>DOC-MT-04</t>
        </is>
      </c>
      <c r="C27" s="11" t="inlineStr">
        <is>
          <t>Fiche Technique Camion (historique)</t>
        </is>
      </c>
      <c r="D27" s="11" t="inlineStr">
        <is>
          <t>KAKO Logistique</t>
        </is>
      </c>
      <c r="E27" s="11" t="inlineStr">
        <is>
          <t>Après chaque intervention</t>
        </is>
      </c>
      <c r="F27" s="11" t="inlineStr">
        <is>
          <t>Ass. Tech. Vinciane</t>
        </is>
      </c>
    </row>
  </sheetData>
  <mergeCells count="10">
    <mergeCell ref="A2:F2"/>
    <mergeCell ref="A6"/>
    <mergeCell ref="B12:F12"/>
    <mergeCell ref="A17"/>
    <mergeCell ref="A12"/>
    <mergeCell ref="B6:F6"/>
    <mergeCell ref="B23:F23"/>
    <mergeCell ref="A3:F3"/>
    <mergeCell ref="B17:F17"/>
    <mergeCell ref="A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4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6" customWidth="1" min="3" max="3"/>
    <col width="10" customWidth="1" min="4" max="4"/>
    <col width="16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</cols>
  <sheetData>
    <row r="1" ht="8" customHeight="1"/>
    <row r="2" ht="26" customHeight="1">
      <c r="A2" s="30" t="inlineStr">
        <is>
          <t>KILIMA Holdings</t>
        </is>
      </c>
      <c r="I2" s="31" t="inlineStr">
        <is>
          <t>DOC-KL-01</t>
        </is>
      </c>
    </row>
    <row r="3" ht="18" customHeight="1">
      <c r="A3" s="32" t="inlineStr">
        <is>
          <t>FICHE DE COURSE JOURNALIÈRE</t>
        </is>
      </c>
    </row>
    <row r="4" ht="16" customHeight="1">
      <c r="A4" s="33" t="inlineStr">
        <is>
          <t>KAKO Logistique — À remplir par l'Ass. Tech. Vinciane pour chaque course</t>
        </is>
      </c>
    </row>
    <row r="5" ht="6" customHeight="1"/>
    <row r="6" ht="16" customHeight="1">
      <c r="A6" s="5" t="inlineStr">
        <is>
          <t>Identification de la course</t>
        </is>
      </c>
    </row>
    <row r="7" ht="20" customHeight="1">
      <c r="A7" s="34" t="inlineStr">
        <is>
          <t>N° de course (séquentiel)</t>
        </is>
      </c>
      <c r="B7" s="100" t="n"/>
      <c r="C7" s="100" t="n"/>
      <c r="D7" s="49" t="n"/>
      <c r="E7" s="35" t="inlineStr"/>
      <c r="F7" s="100" t="n"/>
      <c r="G7" s="100" t="n"/>
      <c r="H7" s="100" t="n"/>
      <c r="I7" s="100" t="n"/>
      <c r="J7" s="100" t="n"/>
      <c r="K7" s="100" t="n"/>
      <c r="L7" s="49" t="n"/>
    </row>
    <row r="8" ht="20" customHeight="1">
      <c r="A8" s="34" t="inlineStr">
        <is>
          <t>Date</t>
        </is>
      </c>
      <c r="B8" s="100" t="n"/>
      <c r="C8" s="100" t="n"/>
      <c r="D8" s="49" t="n"/>
      <c r="E8" s="35" t="inlineStr"/>
      <c r="F8" s="100" t="n"/>
      <c r="G8" s="100" t="n"/>
      <c r="H8" s="100" t="n"/>
      <c r="I8" s="100" t="n"/>
      <c r="J8" s="100" t="n"/>
      <c r="K8" s="100" t="n"/>
      <c r="L8" s="49" t="n"/>
    </row>
    <row r="9" ht="20" customHeight="1">
      <c r="A9" s="34" t="inlineStr">
        <is>
          <t>Numéro / immatriculation camion</t>
        </is>
      </c>
      <c r="B9" s="100" t="n"/>
      <c r="C9" s="100" t="n"/>
      <c r="D9" s="49" t="n"/>
      <c r="E9" s="35" t="inlineStr"/>
      <c r="F9" s="100" t="n"/>
      <c r="G9" s="100" t="n"/>
      <c r="H9" s="100" t="n"/>
      <c r="I9" s="100" t="n"/>
      <c r="J9" s="100" t="n"/>
      <c r="K9" s="100" t="n"/>
      <c r="L9" s="49" t="n"/>
    </row>
    <row r="10" ht="20" customHeight="1">
      <c r="A10" s="34" t="inlineStr">
        <is>
          <t>Chauffeur</t>
        </is>
      </c>
      <c r="B10" s="100" t="n"/>
      <c r="C10" s="100" t="n"/>
      <c r="D10" s="49" t="n"/>
      <c r="E10" s="35" t="inlineStr"/>
      <c r="F10" s="100" t="n"/>
      <c r="G10" s="100" t="n"/>
      <c r="H10" s="100" t="n"/>
      <c r="I10" s="100" t="n"/>
      <c r="J10" s="100" t="n"/>
      <c r="K10" s="100" t="n"/>
      <c r="L10" s="49" t="n"/>
    </row>
    <row r="11" ht="20" customHeight="1">
      <c r="A11" s="34" t="inlineStr">
        <is>
          <t>Trajet (Origine → Destination)</t>
        </is>
      </c>
      <c r="B11" s="100" t="n"/>
      <c r="C11" s="100" t="n"/>
      <c r="D11" s="49" t="n"/>
      <c r="E11" s="35" t="inlineStr"/>
      <c r="F11" s="100" t="n"/>
      <c r="G11" s="100" t="n"/>
      <c r="H11" s="100" t="n"/>
      <c r="I11" s="100" t="n"/>
      <c r="J11" s="100" t="n"/>
      <c r="K11" s="100" t="n"/>
      <c r="L11" s="49" t="n"/>
    </row>
    <row r="12" ht="20" customHeight="1">
      <c r="A12" s="34" t="inlineStr">
        <is>
          <t>Marchandise transportée</t>
        </is>
      </c>
      <c r="B12" s="100" t="n"/>
      <c r="C12" s="100" t="n"/>
      <c r="D12" s="49" t="n"/>
      <c r="E12" s="35" t="inlineStr"/>
      <c r="F12" s="100" t="n"/>
      <c r="G12" s="100" t="n"/>
      <c r="H12" s="100" t="n"/>
      <c r="I12" s="100" t="n"/>
      <c r="J12" s="100" t="n"/>
      <c r="K12" s="100" t="n"/>
      <c r="L12" s="49" t="n"/>
    </row>
    <row r="13" ht="20" customHeight="1">
      <c r="A13" s="34" t="inlineStr">
        <is>
          <t>Quantité / Tonnage</t>
        </is>
      </c>
      <c r="B13" s="100" t="n"/>
      <c r="C13" s="100" t="n"/>
      <c r="D13" s="49" t="n"/>
      <c r="E13" s="35" t="inlineStr"/>
      <c r="F13" s="100" t="n"/>
      <c r="G13" s="100" t="n"/>
      <c r="H13" s="100" t="n"/>
      <c r="I13" s="100" t="n"/>
      <c r="J13" s="100" t="n"/>
      <c r="K13" s="100" t="n"/>
      <c r="L13" s="49" t="n"/>
    </row>
    <row r="14" ht="20" customHeight="1">
      <c r="A14" s="34" t="inlineStr">
        <is>
          <t>Heure de départ prévue</t>
        </is>
      </c>
      <c r="B14" s="100" t="n"/>
      <c r="C14" s="100" t="n"/>
      <c r="D14" s="49" t="n"/>
      <c r="E14" s="35" t="inlineStr"/>
      <c r="F14" s="100" t="n"/>
      <c r="G14" s="100" t="n"/>
      <c r="H14" s="100" t="n"/>
      <c r="I14" s="100" t="n"/>
      <c r="J14" s="100" t="n"/>
      <c r="K14" s="100" t="n"/>
      <c r="L14" s="49" t="n"/>
    </row>
    <row r="16" ht="16" customHeight="1">
      <c r="A16" s="13" t="inlineStr">
        <is>
          <t>Avance carburant &amp; frais</t>
        </is>
      </c>
    </row>
    <row r="17" ht="20" customHeight="1">
      <c r="A17" s="36" t="inlineStr">
        <is>
          <t>Montant carburant alloué (USD)</t>
        </is>
      </c>
      <c r="B17" s="100" t="n"/>
      <c r="C17" s="100" t="n"/>
      <c r="D17" s="49" t="n"/>
      <c r="E17" s="35" t="inlineStr"/>
      <c r="F17" s="100" t="n"/>
      <c r="G17" s="100" t="n"/>
      <c r="H17" s="100" t="n"/>
      <c r="I17" s="100" t="n"/>
      <c r="J17" s="100" t="n"/>
      <c r="K17" s="100" t="n"/>
      <c r="L17" s="49" t="n"/>
    </row>
    <row r="18" ht="20" customHeight="1">
      <c r="A18" s="36" t="inlineStr">
        <is>
          <t>Montant péages alloués (USD)</t>
        </is>
      </c>
      <c r="B18" s="100" t="n"/>
      <c r="C18" s="100" t="n"/>
      <c r="D18" s="49" t="n"/>
      <c r="E18" s="35" t="inlineStr"/>
      <c r="F18" s="100" t="n"/>
      <c r="G18" s="100" t="n"/>
      <c r="H18" s="100" t="n"/>
      <c r="I18" s="100" t="n"/>
      <c r="J18" s="100" t="n"/>
      <c r="K18" s="100" t="n"/>
      <c r="L18" s="49" t="n"/>
    </row>
    <row r="19" ht="20" customHeight="1">
      <c r="A19" s="36" t="inlineStr">
        <is>
          <t>Petite caisse route allouée (USD)</t>
        </is>
      </c>
      <c r="B19" s="100" t="n"/>
      <c r="C19" s="100" t="n"/>
      <c r="D19" s="49" t="n"/>
      <c r="E19" s="35" t="inlineStr"/>
      <c r="F19" s="100" t="n"/>
      <c r="G19" s="100" t="n"/>
      <c r="H19" s="100" t="n"/>
      <c r="I19" s="100" t="n"/>
      <c r="J19" s="100" t="n"/>
      <c r="K19" s="100" t="n"/>
      <c r="L19" s="49" t="n"/>
    </row>
    <row r="20" ht="20" customHeight="1">
      <c r="A20" s="37" t="inlineStr">
        <is>
          <t>TOTAL avance départ (USD)</t>
        </is>
      </c>
      <c r="B20" s="100" t="n"/>
      <c r="C20" s="100" t="n"/>
      <c r="D20" s="49" t="n"/>
      <c r="E20" s="35" t="inlineStr"/>
      <c r="F20" s="100" t="n"/>
      <c r="G20" s="100" t="n"/>
      <c r="H20" s="100" t="n"/>
      <c r="I20" s="100" t="n"/>
      <c r="J20" s="100" t="n"/>
      <c r="K20" s="100" t="n"/>
      <c r="L20" s="49" t="n"/>
    </row>
    <row r="22" ht="16" customHeight="1">
      <c r="A22" s="5" t="inlineStr">
        <is>
          <t>Départ (rempli par Ass. Tech. Vinciane)</t>
        </is>
      </c>
    </row>
    <row r="23" ht="20" customHeight="1">
      <c r="A23" s="34" t="inlineStr">
        <is>
          <t>Heure de départ réelle</t>
        </is>
      </c>
      <c r="B23" s="100" t="n"/>
      <c r="C23" s="100" t="n"/>
      <c r="D23" s="49" t="n"/>
      <c r="E23" s="35" t="inlineStr"/>
      <c r="F23" s="100" t="n"/>
      <c r="G23" s="100" t="n"/>
      <c r="H23" s="100" t="n"/>
      <c r="I23" s="100" t="n"/>
      <c r="J23" s="100" t="n"/>
      <c r="K23" s="100" t="n"/>
      <c r="L23" s="49" t="n"/>
    </row>
    <row r="24" ht="20" customHeight="1">
      <c r="A24" s="34" t="inlineStr">
        <is>
          <t>Carburant mis (litres)</t>
        </is>
      </c>
      <c r="B24" s="100" t="n"/>
      <c r="C24" s="100" t="n"/>
      <c r="D24" s="49" t="n"/>
      <c r="E24" s="35" t="inlineStr"/>
      <c r="F24" s="100" t="n"/>
      <c r="G24" s="100" t="n"/>
      <c r="H24" s="100" t="n"/>
      <c r="I24" s="100" t="n"/>
      <c r="J24" s="100" t="n"/>
      <c r="K24" s="100" t="n"/>
      <c r="L24" s="49" t="n"/>
    </row>
    <row r="25" ht="20" customHeight="1">
      <c r="A25" s="34" t="inlineStr">
        <is>
          <t>Check-list départ (OK / anomalie)</t>
        </is>
      </c>
      <c r="B25" s="100" t="n"/>
      <c r="C25" s="100" t="n"/>
      <c r="D25" s="49" t="n"/>
      <c r="E25" s="35" t="inlineStr"/>
      <c r="F25" s="100" t="n"/>
      <c r="G25" s="100" t="n"/>
      <c r="H25" s="100" t="n"/>
      <c r="I25" s="100" t="n"/>
      <c r="J25" s="100" t="n"/>
      <c r="K25" s="100" t="n"/>
      <c r="L25" s="49" t="n"/>
    </row>
    <row r="26" ht="20" customHeight="1">
      <c r="A26" s="34" t="inlineStr">
        <is>
          <t>Libéré par (Vinciane — signature)</t>
        </is>
      </c>
      <c r="B26" s="100" t="n"/>
      <c r="C26" s="100" t="n"/>
      <c r="D26" s="49" t="n"/>
      <c r="E26" s="35" t="inlineStr"/>
      <c r="F26" s="100" t="n"/>
      <c r="G26" s="100" t="n"/>
      <c r="H26" s="100" t="n"/>
      <c r="I26" s="100" t="n"/>
      <c r="J26" s="100" t="n"/>
      <c r="K26" s="100" t="n"/>
      <c r="L26" s="49" t="n"/>
    </row>
    <row r="27" ht="20" customHeight="1">
      <c r="A27" s="34" t="inlineStr">
        <is>
          <t>Réf. DOC-G-02 (Ordre de Dépense)</t>
        </is>
      </c>
      <c r="B27" s="100" t="n"/>
      <c r="C27" s="100" t="n"/>
      <c r="D27" s="49" t="n"/>
      <c r="E27" s="35" t="inlineStr"/>
      <c r="F27" s="100" t="n"/>
      <c r="G27" s="100" t="n"/>
      <c r="H27" s="100" t="n"/>
      <c r="I27" s="100" t="n"/>
      <c r="J27" s="100" t="n"/>
      <c r="K27" s="100" t="n"/>
      <c r="L27" s="49" t="n"/>
    </row>
    <row r="29" ht="16" customHeight="1">
      <c r="A29" s="25" t="inlineStr">
        <is>
          <t>Retour (rempli au retour du camion)</t>
        </is>
      </c>
    </row>
    <row r="30" ht="20" customHeight="1">
      <c r="A30" s="38" t="inlineStr">
        <is>
          <t>Heure de retour réelle</t>
        </is>
      </c>
      <c r="B30" s="100" t="n"/>
      <c r="C30" s="100" t="n"/>
      <c r="D30" s="49" t="n"/>
      <c r="E30" s="35" t="inlineStr"/>
      <c r="F30" s="100" t="n"/>
      <c r="G30" s="100" t="n"/>
      <c r="H30" s="100" t="n"/>
      <c r="I30" s="100" t="n"/>
      <c r="J30" s="100" t="n"/>
      <c r="K30" s="100" t="n"/>
      <c r="L30" s="49" t="n"/>
    </row>
    <row r="31" ht="20" customHeight="1">
      <c r="A31" s="38" t="inlineStr">
        <is>
          <t>Quantité réellement livrée</t>
        </is>
      </c>
      <c r="B31" s="100" t="n"/>
      <c r="C31" s="100" t="n"/>
      <c r="D31" s="49" t="n"/>
      <c r="E31" s="35" t="inlineStr"/>
      <c r="F31" s="100" t="n"/>
      <c r="G31" s="100" t="n"/>
      <c r="H31" s="100" t="n"/>
      <c r="I31" s="100" t="n"/>
      <c r="J31" s="100" t="n"/>
      <c r="K31" s="100" t="n"/>
      <c r="L31" s="49" t="n"/>
    </row>
    <row r="32" ht="20" customHeight="1">
      <c r="A32" s="38" t="inlineStr">
        <is>
          <t>Bon de livraison signé client (N°)</t>
        </is>
      </c>
      <c r="B32" s="100" t="n"/>
      <c r="C32" s="100" t="n"/>
      <c r="D32" s="49" t="n"/>
      <c r="E32" s="35" t="inlineStr"/>
      <c r="F32" s="100" t="n"/>
      <c r="G32" s="100" t="n"/>
      <c r="H32" s="100" t="n"/>
      <c r="I32" s="100" t="n"/>
      <c r="J32" s="100" t="n"/>
      <c r="K32" s="100" t="n"/>
      <c r="L32" s="49" t="n"/>
    </row>
    <row r="33" ht="20" customHeight="1">
      <c r="A33" s="38" t="inlineStr">
        <is>
          <t>Incidents / Observations route</t>
        </is>
      </c>
      <c r="B33" s="100" t="n"/>
      <c r="C33" s="100" t="n"/>
      <c r="D33" s="49" t="n"/>
      <c r="E33" s="35" t="inlineStr"/>
      <c r="F33" s="100" t="n"/>
      <c r="G33" s="100" t="n"/>
      <c r="H33" s="100" t="n"/>
      <c r="I33" s="100" t="n"/>
      <c r="J33" s="100" t="n"/>
      <c r="K33" s="100" t="n"/>
      <c r="L33" s="49" t="n"/>
    </row>
    <row r="34" ht="20" customHeight="1">
      <c r="A34" s="38" t="inlineStr">
        <is>
          <t>Solde carburant non utilisé</t>
        </is>
      </c>
      <c r="B34" s="100" t="n"/>
      <c r="C34" s="100" t="n"/>
      <c r="D34" s="49" t="n"/>
      <c r="E34" s="35" t="inlineStr"/>
      <c r="F34" s="100" t="n"/>
      <c r="G34" s="100" t="n"/>
      <c r="H34" s="100" t="n"/>
      <c r="I34" s="100" t="n"/>
      <c r="J34" s="100" t="n"/>
      <c r="K34" s="100" t="n"/>
      <c r="L34" s="49" t="n"/>
    </row>
    <row r="35" ht="20" customHeight="1">
      <c r="A35" s="38" t="inlineStr">
        <is>
          <t>Solde péages non utilisé</t>
        </is>
      </c>
      <c r="B35" s="100" t="n"/>
      <c r="C35" s="100" t="n"/>
      <c r="D35" s="49" t="n"/>
      <c r="E35" s="35" t="inlineStr"/>
      <c r="F35" s="100" t="n"/>
      <c r="G35" s="100" t="n"/>
      <c r="H35" s="100" t="n"/>
      <c r="I35" s="100" t="n"/>
      <c r="J35" s="100" t="n"/>
      <c r="K35" s="100" t="n"/>
      <c r="L35" s="49" t="n"/>
    </row>
    <row r="36" ht="20" customHeight="1">
      <c r="A36" s="38" t="inlineStr">
        <is>
          <t>Solde petite caisse non utilisé</t>
        </is>
      </c>
      <c r="B36" s="100" t="n"/>
      <c r="C36" s="100" t="n"/>
      <c r="D36" s="49" t="n"/>
      <c r="E36" s="35" t="inlineStr"/>
      <c r="F36" s="100" t="n"/>
      <c r="G36" s="100" t="n"/>
      <c r="H36" s="100" t="n"/>
      <c r="I36" s="100" t="n"/>
      <c r="J36" s="100" t="n"/>
      <c r="K36" s="100" t="n"/>
      <c r="L36" s="49" t="n"/>
    </row>
    <row r="37" ht="20" customHeight="1">
      <c r="A37" s="38" t="inlineStr">
        <is>
          <t>TOTAL solde retourné à la caisse</t>
        </is>
      </c>
      <c r="B37" s="100" t="n"/>
      <c r="C37" s="100" t="n"/>
      <c r="D37" s="49" t="n"/>
      <c r="E37" s="35" t="inlineStr"/>
      <c r="F37" s="100" t="n"/>
      <c r="G37" s="100" t="n"/>
      <c r="H37" s="100" t="n"/>
      <c r="I37" s="100" t="n"/>
      <c r="J37" s="100" t="n"/>
      <c r="K37" s="100" t="n"/>
      <c r="L37" s="49" t="n"/>
    </row>
    <row r="39" ht="16" customHeight="1">
      <c r="A39" s="19" t="inlineStr">
        <is>
          <t>Transmission (avant 18h → canal Teams KAKO Logistique)</t>
        </is>
      </c>
    </row>
    <row r="40" ht="20" customHeight="1">
      <c r="A40" s="22" t="inlineStr">
        <is>
          <t>Transmis par Vinciane à (Teams) :</t>
        </is>
      </c>
      <c r="B40" s="100" t="n"/>
      <c r="C40" s="100" t="n"/>
      <c r="D40" s="49" t="n"/>
      <c r="E40" s="35" t="inlineStr"/>
      <c r="F40" s="100" t="n"/>
      <c r="G40" s="100" t="n"/>
      <c r="H40" s="100" t="n"/>
      <c r="I40" s="100" t="n"/>
      <c r="J40" s="100" t="n"/>
      <c r="K40" s="100" t="n"/>
      <c r="L40" s="49" t="n"/>
    </row>
    <row r="41" ht="20" customHeight="1">
      <c r="A41" s="22" t="inlineStr">
        <is>
          <t>Heure de transmission :</t>
        </is>
      </c>
      <c r="B41" s="100" t="n"/>
      <c r="C41" s="100" t="n"/>
      <c r="D41" s="49" t="n"/>
      <c r="E41" s="35" t="inlineStr"/>
      <c r="F41" s="100" t="n"/>
      <c r="G41" s="100" t="n"/>
      <c r="H41" s="100" t="n"/>
      <c r="I41" s="100" t="n"/>
      <c r="J41" s="100" t="n"/>
      <c r="K41" s="100" t="n"/>
      <c r="L41" s="49" t="n"/>
    </row>
    <row r="43" ht="16" customHeight="1">
      <c r="A43" s="39" t="inlineStr">
        <is>
          <t>Ass. Tech. Vinciane
(départ &amp; retour)</t>
        </is>
      </c>
      <c r="B43" s="101" t="n"/>
      <c r="C43" s="101" t="n"/>
      <c r="D43" s="102" t="n"/>
      <c r="E43" s="39" t="inlineStr">
        <is>
          <t>Chauffeur
(signature retour)</t>
        </is>
      </c>
      <c r="F43" s="101" t="n"/>
      <c r="G43" s="101" t="n"/>
      <c r="H43" s="102" t="n"/>
      <c r="I43" s="39" t="inlineStr">
        <is>
          <t>Caissière Eliane
(réception solde)</t>
        </is>
      </c>
      <c r="J43" s="101" t="n"/>
      <c r="K43" s="101" t="n"/>
      <c r="L43" s="102" t="n"/>
    </row>
    <row r="44" ht="48" customHeight="1">
      <c r="A44" s="40" t="inlineStr"/>
      <c r="B44" s="100" t="n"/>
      <c r="C44" s="100" t="n"/>
      <c r="D44" s="49" t="n"/>
      <c r="E44" s="40" t="inlineStr"/>
      <c r="F44" s="100" t="n"/>
      <c r="G44" s="100" t="n"/>
      <c r="H44" s="49" t="n"/>
      <c r="I44" s="40" t="inlineStr"/>
      <c r="J44" s="100" t="n"/>
      <c r="K44" s="100" t="n"/>
      <c r="L44" s="49" t="n"/>
    </row>
    <row r="46" ht="13" customHeight="1">
      <c r="A46" s="41" t="inlineStr">
        <is>
          <t>DOC-KL-01 — Fiche de Course Journalière — KAKO Logistique — KILIMA Holdings</t>
        </is>
      </c>
    </row>
  </sheetData>
  <mergeCells count="70">
    <mergeCell ref="E12:L12"/>
    <mergeCell ref="A16:L16"/>
    <mergeCell ref="E18:L18"/>
    <mergeCell ref="A8:D8"/>
    <mergeCell ref="A17:D17"/>
    <mergeCell ref="A23:D23"/>
    <mergeCell ref="A35:D35"/>
    <mergeCell ref="I44:L44"/>
    <mergeCell ref="A20:D20"/>
    <mergeCell ref="E33:L33"/>
    <mergeCell ref="A46:L46"/>
    <mergeCell ref="E24:L24"/>
    <mergeCell ref="A43:D43"/>
    <mergeCell ref="E14:L14"/>
    <mergeCell ref="A19:D19"/>
    <mergeCell ref="A10:D10"/>
    <mergeCell ref="A3:L3"/>
    <mergeCell ref="E23:L23"/>
    <mergeCell ref="A13:D13"/>
    <mergeCell ref="E8:L8"/>
    <mergeCell ref="A44:D44"/>
    <mergeCell ref="E17:L17"/>
    <mergeCell ref="E35:L35"/>
    <mergeCell ref="A9:D9"/>
    <mergeCell ref="A40:D40"/>
    <mergeCell ref="E20:L20"/>
    <mergeCell ref="A31:D31"/>
    <mergeCell ref="A34:D34"/>
    <mergeCell ref="E43:H43"/>
    <mergeCell ref="A30:D30"/>
    <mergeCell ref="E10:L10"/>
    <mergeCell ref="A22:L22"/>
    <mergeCell ref="E13:L13"/>
    <mergeCell ref="E19:L19"/>
    <mergeCell ref="A11:D11"/>
    <mergeCell ref="I2:L2"/>
    <mergeCell ref="A24:D24"/>
    <mergeCell ref="E31:L31"/>
    <mergeCell ref="A4:L4"/>
    <mergeCell ref="A36:D36"/>
    <mergeCell ref="E34:L34"/>
    <mergeCell ref="E9:L9"/>
    <mergeCell ref="E40:L40"/>
    <mergeCell ref="A29:L29"/>
    <mergeCell ref="E30:L30"/>
    <mergeCell ref="A2:H2"/>
    <mergeCell ref="E11:L11"/>
    <mergeCell ref="E44:H44"/>
    <mergeCell ref="A7:D7"/>
    <mergeCell ref="A25:D25"/>
    <mergeCell ref="E36:L36"/>
    <mergeCell ref="A41:D41"/>
    <mergeCell ref="E27:L27"/>
    <mergeCell ref="A39:L39"/>
    <mergeCell ref="E26:L26"/>
    <mergeCell ref="A37:D37"/>
    <mergeCell ref="A18:D18"/>
    <mergeCell ref="A27:D27"/>
    <mergeCell ref="E7:L7"/>
    <mergeCell ref="A12:D12"/>
    <mergeCell ref="E25:L25"/>
    <mergeCell ref="A26:D26"/>
    <mergeCell ref="E41:L41"/>
    <mergeCell ref="I43:L43"/>
    <mergeCell ref="E32:L32"/>
    <mergeCell ref="A6:L6"/>
    <mergeCell ref="A33:D33"/>
    <mergeCell ref="E37:L37"/>
    <mergeCell ref="A32:D32"/>
    <mergeCell ref="A14:D14"/>
  </mergeCells>
  <pageMargins left="0.5" right="0.5" top="0.6" bottom="0.6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/>
    <row r="2" ht="26" customHeight="1">
      <c r="A2" s="30" t="inlineStr">
        <is>
          <t>KILIMA Holdings</t>
        </is>
      </c>
      <c r="I2" s="31" t="inlineStr">
        <is>
          <t>DOC-KL-02</t>
        </is>
      </c>
    </row>
    <row r="3" ht="18" customHeight="1">
      <c r="A3" s="32" t="inlineStr">
        <is>
          <t>CHECK-LIST DÉPART CAMION</t>
        </is>
      </c>
    </row>
    <row r="4" ht="16" customHeight="1">
      <c r="A4" s="33" t="inlineStr">
        <is>
          <t>KAKO Logistique — Contrôle avant libération du camion par Vinciane</t>
        </is>
      </c>
    </row>
    <row r="5" ht="6" customHeight="1"/>
    <row r="6" ht="16" customHeight="1">
      <c r="A6" s="5" t="inlineStr">
        <is>
          <t>Identification</t>
        </is>
      </c>
    </row>
    <row r="7" ht="20" customHeight="1">
      <c r="A7" s="34" t="inlineStr">
        <is>
          <t>N° Course (DOC-KL-01)</t>
        </is>
      </c>
      <c r="B7" s="100" t="n"/>
      <c r="C7" s="100" t="n"/>
      <c r="D7" s="49" t="n"/>
      <c r="E7" s="35" t="inlineStr"/>
      <c r="F7" s="100" t="n"/>
      <c r="G7" s="100" t="n"/>
      <c r="H7" s="100" t="n"/>
      <c r="I7" s="100" t="n"/>
      <c r="J7" s="100" t="n"/>
      <c r="K7" s="100" t="n"/>
      <c r="L7" s="49" t="n"/>
    </row>
    <row r="8" ht="20" customHeight="1">
      <c r="A8" s="34" t="inlineStr">
        <is>
          <t>Date / Camion</t>
        </is>
      </c>
      <c r="B8" s="100" t="n"/>
      <c r="C8" s="100" t="n"/>
      <c r="D8" s="49" t="n"/>
      <c r="E8" s="35" t="inlineStr"/>
      <c r="F8" s="100" t="n"/>
      <c r="G8" s="100" t="n"/>
      <c r="H8" s="100" t="n"/>
      <c r="I8" s="100" t="n"/>
      <c r="J8" s="100" t="n"/>
      <c r="K8" s="100" t="n"/>
      <c r="L8" s="49" t="n"/>
    </row>
    <row r="9" ht="20" customHeight="1">
      <c r="A9" s="34" t="inlineStr">
        <is>
          <t>Chauffeur</t>
        </is>
      </c>
      <c r="B9" s="100" t="n"/>
      <c r="C9" s="100" t="n"/>
      <c r="D9" s="49" t="n"/>
      <c r="E9" s="35" t="inlineStr"/>
      <c r="F9" s="100" t="n"/>
      <c r="G9" s="100" t="n"/>
      <c r="H9" s="100" t="n"/>
      <c r="I9" s="100" t="n"/>
      <c r="J9" s="100" t="n"/>
      <c r="K9" s="100" t="n"/>
      <c r="L9" s="49" t="n"/>
    </row>
    <row r="11" ht="16" customHeight="1">
      <c r="A11" s="5" t="inlineStr">
        <is>
          <t>Points de contrôle</t>
        </is>
      </c>
    </row>
    <row r="12" ht="20" customHeight="1">
      <c r="A12" s="42" t="inlineStr">
        <is>
          <t>Point de contrôle</t>
        </is>
      </c>
      <c r="B12" s="103" t="n"/>
      <c r="C12" s="103" t="n"/>
      <c r="D12" s="103" t="n"/>
      <c r="E12" s="103" t="n"/>
      <c r="F12" s="103" t="n"/>
      <c r="G12" s="103" t="n"/>
      <c r="H12" s="104" t="n"/>
      <c r="I12" s="43" t="inlineStr">
        <is>
          <t>Résultat
(OK / NON / N/A)</t>
        </is>
      </c>
      <c r="J12" s="104" t="n"/>
      <c r="K12" s="42" t="inlineStr">
        <is>
          <t>Observations</t>
        </is>
      </c>
      <c r="L12" s="104" t="n"/>
    </row>
    <row r="13" ht="20" customHeight="1">
      <c r="A13" s="11" t="inlineStr">
        <is>
          <t>Fiche Course validée par le DFI (DOC-KL-01)</t>
        </is>
      </c>
      <c r="B13" s="100" t="n"/>
      <c r="C13" s="100" t="n"/>
      <c r="D13" s="100" t="n"/>
      <c r="E13" s="100" t="n"/>
      <c r="F13" s="100" t="n"/>
      <c r="G13" s="100" t="n"/>
      <c r="H13" s="49" t="n"/>
      <c r="I13" s="44" t="inlineStr"/>
      <c r="J13" s="49" t="n"/>
      <c r="K13" s="11" t="inlineStr"/>
      <c r="L13" s="49" t="n"/>
    </row>
    <row r="14" ht="20" customHeight="1">
      <c r="A14" s="8" t="inlineStr">
        <is>
          <t>Ordre de Dépense carburant signé (DOC-G-02)</t>
        </is>
      </c>
      <c r="B14" s="100" t="n"/>
      <c r="C14" s="100" t="n"/>
      <c r="D14" s="100" t="n"/>
      <c r="E14" s="100" t="n"/>
      <c r="F14" s="100" t="n"/>
      <c r="G14" s="100" t="n"/>
      <c r="H14" s="49" t="n"/>
      <c r="I14" s="44" t="inlineStr"/>
      <c r="J14" s="49" t="n"/>
      <c r="K14" s="8" t="inlineStr"/>
      <c r="L14" s="49" t="n"/>
    </row>
    <row r="15" ht="20" customHeight="1">
      <c r="A15" s="11" t="inlineStr">
        <is>
          <t>Carburant effectivement mis dans le réservoir (vérif. physique)</t>
        </is>
      </c>
      <c r="B15" s="100" t="n"/>
      <c r="C15" s="100" t="n"/>
      <c r="D15" s="100" t="n"/>
      <c r="E15" s="100" t="n"/>
      <c r="F15" s="100" t="n"/>
      <c r="G15" s="100" t="n"/>
      <c r="H15" s="49" t="n"/>
      <c r="I15" s="44" t="inlineStr"/>
      <c r="J15" s="49" t="n"/>
      <c r="K15" s="11" t="inlineStr"/>
      <c r="L15" s="49" t="n"/>
    </row>
    <row r="16" ht="20" customHeight="1">
      <c r="A16" s="8" t="inlineStr">
        <is>
          <t>Argent péages remis au chauffeur</t>
        </is>
      </c>
      <c r="B16" s="100" t="n"/>
      <c r="C16" s="100" t="n"/>
      <c r="D16" s="100" t="n"/>
      <c r="E16" s="100" t="n"/>
      <c r="F16" s="100" t="n"/>
      <c r="G16" s="100" t="n"/>
      <c r="H16" s="49" t="n"/>
      <c r="I16" s="44" t="inlineStr"/>
      <c r="J16" s="49" t="n"/>
      <c r="K16" s="8" t="inlineStr"/>
      <c r="L16" s="49" t="n"/>
    </row>
    <row r="17" ht="20" customHeight="1">
      <c r="A17" s="11" t="inlineStr">
        <is>
          <t>Petite caisse route remise au chauffeur</t>
        </is>
      </c>
      <c r="B17" s="100" t="n"/>
      <c r="C17" s="100" t="n"/>
      <c r="D17" s="100" t="n"/>
      <c r="E17" s="100" t="n"/>
      <c r="F17" s="100" t="n"/>
      <c r="G17" s="100" t="n"/>
      <c r="H17" s="49" t="n"/>
      <c r="I17" s="44" t="inlineStr"/>
      <c r="J17" s="49" t="n"/>
      <c r="K17" s="11" t="inlineStr"/>
      <c r="L17" s="49" t="n"/>
    </row>
    <row r="18" ht="20" customHeight="1">
      <c r="A18" s="8" t="inlineStr">
        <is>
          <t>Bon de livraison préparé et remis au chauffeur</t>
        </is>
      </c>
      <c r="B18" s="100" t="n"/>
      <c r="C18" s="100" t="n"/>
      <c r="D18" s="100" t="n"/>
      <c r="E18" s="100" t="n"/>
      <c r="F18" s="100" t="n"/>
      <c r="G18" s="100" t="n"/>
      <c r="H18" s="49" t="n"/>
      <c r="I18" s="44" t="inlineStr"/>
      <c r="J18" s="49" t="n"/>
      <c r="K18" s="8" t="inlineStr"/>
      <c r="L18" s="49" t="n"/>
    </row>
    <row r="19" ht="20" customHeight="1">
      <c r="A19" s="11" t="inlineStr">
        <is>
          <t>Marchandise correctement chargée et sécurisée</t>
        </is>
      </c>
      <c r="B19" s="100" t="n"/>
      <c r="C19" s="100" t="n"/>
      <c r="D19" s="100" t="n"/>
      <c r="E19" s="100" t="n"/>
      <c r="F19" s="100" t="n"/>
      <c r="G19" s="100" t="n"/>
      <c r="H19" s="49" t="n"/>
      <c r="I19" s="44" t="inlineStr"/>
      <c r="J19" s="49" t="n"/>
      <c r="K19" s="11" t="inlineStr"/>
      <c r="L19" s="49" t="n"/>
    </row>
    <row r="20" ht="20" customHeight="1">
      <c r="A20" s="8" t="inlineStr">
        <is>
          <t>Documents du camion valides (assurance, visite technique)</t>
        </is>
      </c>
      <c r="B20" s="100" t="n"/>
      <c r="C20" s="100" t="n"/>
      <c r="D20" s="100" t="n"/>
      <c r="E20" s="100" t="n"/>
      <c r="F20" s="100" t="n"/>
      <c r="G20" s="100" t="n"/>
      <c r="H20" s="49" t="n"/>
      <c r="I20" s="44" t="inlineStr"/>
      <c r="J20" s="49" t="n"/>
      <c r="K20" s="8" t="inlineStr"/>
      <c r="L20" s="49" t="n"/>
    </row>
    <row r="21" ht="20" customHeight="1">
      <c r="A21" s="11" t="inlineStr">
        <is>
          <t>Chauffeur en état de conduire (aucun signe d'incapacité)</t>
        </is>
      </c>
      <c r="B21" s="100" t="n"/>
      <c r="C21" s="100" t="n"/>
      <c r="D21" s="100" t="n"/>
      <c r="E21" s="100" t="n"/>
      <c r="F21" s="100" t="n"/>
      <c r="G21" s="100" t="n"/>
      <c r="H21" s="49" t="n"/>
      <c r="I21" s="44" t="inlineStr"/>
      <c r="J21" s="49" t="n"/>
      <c r="K21" s="11" t="inlineStr"/>
      <c r="L21" s="49" t="n"/>
    </row>
    <row r="22" ht="20" customHeight="1">
      <c r="A22" s="8" t="inlineStr">
        <is>
          <t>Contact téléphonique chauffeur vérifié (numéro actif)</t>
        </is>
      </c>
      <c r="B22" s="100" t="n"/>
      <c r="C22" s="100" t="n"/>
      <c r="D22" s="100" t="n"/>
      <c r="E22" s="100" t="n"/>
      <c r="F22" s="100" t="n"/>
      <c r="G22" s="100" t="n"/>
      <c r="H22" s="49" t="n"/>
      <c r="I22" s="44" t="inlineStr"/>
      <c r="J22" s="49" t="n"/>
      <c r="K22" s="8" t="inlineStr"/>
      <c r="L22" s="49" t="n"/>
    </row>
    <row r="23" ht="20" customHeight="1">
      <c r="A23" s="11" t="inlineStr">
        <is>
          <t>Dispatcher informé de l'heure de départ prévue</t>
        </is>
      </c>
      <c r="B23" s="100" t="n"/>
      <c r="C23" s="100" t="n"/>
      <c r="D23" s="100" t="n"/>
      <c r="E23" s="100" t="n"/>
      <c r="F23" s="100" t="n"/>
      <c r="G23" s="100" t="n"/>
      <c r="H23" s="49" t="n"/>
      <c r="I23" s="44" t="inlineStr"/>
      <c r="J23" s="49" t="n"/>
      <c r="K23" s="11" t="inlineStr"/>
      <c r="L23" s="49" t="n"/>
    </row>
    <row r="25" ht="14" customHeight="1">
      <c r="A25" s="45" t="inlineStr">
        <is>
          <t>DÉCISION FINALE  :  Camion libéré  ☐     Camion retenu (motif ci-dessous)  ☐</t>
        </is>
      </c>
    </row>
    <row r="26" ht="30" customHeight="1">
      <c r="A26" s="35" t="inlineStr">
        <is>
          <t>Motif de rétention (si applicable) :</t>
        </is>
      </c>
      <c r="B26" s="100" t="n"/>
      <c r="C26" s="100" t="n"/>
      <c r="D26" s="100" t="n"/>
      <c r="E26" s="100" t="n"/>
      <c r="F26" s="100" t="n"/>
      <c r="G26" s="100" t="n"/>
      <c r="H26" s="100" t="n"/>
      <c r="I26" s="100" t="n"/>
      <c r="J26" s="100" t="n"/>
      <c r="K26" s="100" t="n"/>
      <c r="L26" s="49" t="n"/>
    </row>
    <row r="28" ht="16" customHeight="1">
      <c r="A28" s="39" t="inlineStr">
        <is>
          <t>Ass. Tech. Vinciane
(signature &amp; heure libération)</t>
        </is>
      </c>
      <c r="B28" s="101" t="n"/>
      <c r="C28" s="101" t="n"/>
      <c r="D28" s="101" t="n"/>
      <c r="E28" s="101" t="n"/>
      <c r="F28" s="102" t="n"/>
      <c r="G28" s="39" t="inlineStr">
        <is>
          <t>Chauffeur
(signature départ)</t>
        </is>
      </c>
      <c r="H28" s="101" t="n"/>
      <c r="I28" s="101" t="n"/>
      <c r="J28" s="101" t="n"/>
      <c r="K28" s="101" t="n"/>
      <c r="L28" s="102" t="n"/>
    </row>
    <row r="29" ht="48" customHeight="1">
      <c r="A29" s="40" t="inlineStr"/>
      <c r="B29" s="100" t="n"/>
      <c r="C29" s="100" t="n"/>
      <c r="D29" s="100" t="n"/>
      <c r="E29" s="100" t="n"/>
      <c r="F29" s="49" t="n"/>
      <c r="G29" s="40" t="inlineStr"/>
      <c r="H29" s="100" t="n"/>
      <c r="I29" s="100" t="n"/>
      <c r="J29" s="100" t="n"/>
      <c r="K29" s="100" t="n"/>
      <c r="L29" s="49" t="n"/>
    </row>
    <row r="31" ht="13" customHeight="1">
      <c r="A31" s="41" t="inlineStr">
        <is>
          <t>DOC-KL-02 — Check-list Départ Camion — KAKO Logistique — KILIMA Holdings</t>
        </is>
      </c>
    </row>
  </sheetData>
  <mergeCells count="55">
    <mergeCell ref="K16:L16"/>
    <mergeCell ref="A8:D8"/>
    <mergeCell ref="A25:L25"/>
    <mergeCell ref="A15:H15"/>
    <mergeCell ref="I15:J15"/>
    <mergeCell ref="G28:L28"/>
    <mergeCell ref="K15:L15"/>
    <mergeCell ref="A3:L3"/>
    <mergeCell ref="E8:L8"/>
    <mergeCell ref="K21:L21"/>
    <mergeCell ref="A26:L26"/>
    <mergeCell ref="A9:D9"/>
    <mergeCell ref="K20:L20"/>
    <mergeCell ref="I16:J16"/>
    <mergeCell ref="A16:H16"/>
    <mergeCell ref="I22:J22"/>
    <mergeCell ref="I2:L2"/>
    <mergeCell ref="K22:L22"/>
    <mergeCell ref="I18:J18"/>
    <mergeCell ref="A29:F29"/>
    <mergeCell ref="A4:L4"/>
    <mergeCell ref="G29:L29"/>
    <mergeCell ref="A12:H12"/>
    <mergeCell ref="A18:H18"/>
    <mergeCell ref="E9:L9"/>
    <mergeCell ref="I12:J12"/>
    <mergeCell ref="A21:H21"/>
    <mergeCell ref="I21:J21"/>
    <mergeCell ref="K12:L12"/>
    <mergeCell ref="A28:F28"/>
    <mergeCell ref="A2:H2"/>
    <mergeCell ref="A31:L31"/>
    <mergeCell ref="A7:D7"/>
    <mergeCell ref="A14:H14"/>
    <mergeCell ref="I23:J23"/>
    <mergeCell ref="I14:J14"/>
    <mergeCell ref="A23:H23"/>
    <mergeCell ref="K23:L23"/>
    <mergeCell ref="K14:L14"/>
    <mergeCell ref="I17:J17"/>
    <mergeCell ref="K17:L17"/>
    <mergeCell ref="A17:H17"/>
    <mergeCell ref="A22:H22"/>
    <mergeCell ref="I20:J20"/>
    <mergeCell ref="E7:L7"/>
    <mergeCell ref="A11:L11"/>
    <mergeCell ref="A20:H20"/>
    <mergeCell ref="I19:J19"/>
    <mergeCell ref="K19:L19"/>
    <mergeCell ref="A6:L6"/>
    <mergeCell ref="A13:H13"/>
    <mergeCell ref="A19:H19"/>
    <mergeCell ref="I13:J13"/>
    <mergeCell ref="K13:L13"/>
    <mergeCell ref="K18:L18"/>
  </mergeCells>
  <pageMargins left="0.5" right="0.5" top="0.6" bottom="0.6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L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6" customWidth="1" min="3" max="3"/>
    <col width="10" customWidth="1" min="4" max="4"/>
    <col width="14" customWidth="1" min="5" max="5"/>
    <col width="8" customWidth="1" min="6" max="6"/>
    <col width="8" customWidth="1" min="7" max="7"/>
    <col width="10" customWidth="1" min="8" max="8"/>
    <col width="8" customWidth="1" min="9" max="9"/>
    <col width="8" customWidth="1" min="10" max="10"/>
    <col width="10" customWidth="1" min="11" max="11"/>
    <col width="8" customWidth="1" min="12" max="12"/>
  </cols>
  <sheetData>
    <row r="1" ht="8" customHeight="1"/>
    <row r="2" ht="26" customHeight="1">
      <c r="A2" s="30" t="inlineStr">
        <is>
          <t>KILIMA Holdings</t>
        </is>
      </c>
      <c r="I2" s="31" t="inlineStr">
        <is>
          <t>DOC-KL-03</t>
        </is>
      </c>
    </row>
    <row r="3" ht="18" customHeight="1">
      <c r="A3" s="46" t="inlineStr">
        <is>
          <t>FICHE D'IMMOBILISATION / REMISE EN SERVICE CAMION</t>
        </is>
      </c>
    </row>
    <row r="4" ht="16" customHeight="1">
      <c r="A4" s="47" t="inlineStr">
        <is>
          <t>KAKO Logistique — À ouvrir à chaque mise hors service, à clôturer à la remise en service</t>
        </is>
      </c>
    </row>
    <row r="5" ht="6" customHeight="1"/>
    <row r="6" ht="16" customHeight="1">
      <c r="A6" s="13" t="inlineStr">
        <is>
          <t>Identification du camion</t>
        </is>
      </c>
    </row>
    <row r="7" ht="20" customHeight="1">
      <c r="A7" s="36" t="inlineStr">
        <is>
          <t>N° / Immatriculation camion</t>
        </is>
      </c>
      <c r="B7" s="100" t="n"/>
      <c r="C7" s="100" t="n"/>
      <c r="D7" s="49" t="n"/>
      <c r="E7" s="35" t="inlineStr"/>
      <c r="F7" s="100" t="n"/>
      <c r="G7" s="100" t="n"/>
      <c r="H7" s="100" t="n"/>
      <c r="I7" s="100" t="n"/>
      <c r="J7" s="100" t="n"/>
      <c r="K7" s="100" t="n"/>
      <c r="L7" s="49" t="n"/>
    </row>
    <row r="8" ht="20" customHeight="1">
      <c r="A8" s="36" t="inlineStr">
        <is>
          <t>Marque / Modèle</t>
        </is>
      </c>
      <c r="B8" s="100" t="n"/>
      <c r="C8" s="100" t="n"/>
      <c r="D8" s="49" t="n"/>
      <c r="E8" s="35" t="inlineStr"/>
      <c r="F8" s="100" t="n"/>
      <c r="G8" s="100" t="n"/>
      <c r="H8" s="100" t="n"/>
      <c r="I8" s="100" t="n"/>
      <c r="J8" s="100" t="n"/>
      <c r="K8" s="100" t="n"/>
      <c r="L8" s="49" t="n"/>
    </row>
    <row r="9" ht="20" customHeight="1">
      <c r="A9" s="36" t="inlineStr">
        <is>
          <t>Kilométrage au moment de l'immobilisation</t>
        </is>
      </c>
      <c r="B9" s="100" t="n"/>
      <c r="C9" s="100" t="n"/>
      <c r="D9" s="49" t="n"/>
      <c r="E9" s="35" t="inlineStr"/>
      <c r="F9" s="100" t="n"/>
      <c r="G9" s="100" t="n"/>
      <c r="H9" s="100" t="n"/>
      <c r="I9" s="100" t="n"/>
      <c r="J9" s="100" t="n"/>
      <c r="K9" s="100" t="n"/>
      <c r="L9" s="49" t="n"/>
    </row>
    <row r="11" ht="16" customHeight="1">
      <c r="A11" s="13" t="inlineStr">
        <is>
          <t>Immobilisation</t>
        </is>
      </c>
    </row>
    <row r="12" ht="20" customHeight="1">
      <c r="A12" s="36" t="inlineStr">
        <is>
          <t>Date &amp; heure d'immobilisation</t>
        </is>
      </c>
      <c r="B12" s="100" t="n"/>
      <c r="C12" s="100" t="n"/>
      <c r="D12" s="49" t="n"/>
      <c r="E12" s="35" t="inlineStr"/>
      <c r="F12" s="100" t="n"/>
      <c r="G12" s="100" t="n"/>
      <c r="H12" s="100" t="n"/>
      <c r="I12" s="100" t="n"/>
      <c r="J12" s="100" t="n"/>
      <c r="K12" s="100" t="n"/>
      <c r="L12" s="49" t="n"/>
    </row>
    <row r="13" ht="20" customHeight="1">
      <c r="A13" s="36" t="inlineStr">
        <is>
          <t>Cause (panne / accident / entretien préventif / contrôle technique)</t>
        </is>
      </c>
      <c r="B13" s="100" t="n"/>
      <c r="C13" s="100" t="n"/>
      <c r="D13" s="49" t="n"/>
      <c r="E13" s="35" t="inlineStr"/>
      <c r="F13" s="100" t="n"/>
      <c r="G13" s="100" t="n"/>
      <c r="H13" s="100" t="n"/>
      <c r="I13" s="100" t="n"/>
      <c r="J13" s="100" t="n"/>
      <c r="K13" s="100" t="n"/>
      <c r="L13" s="49" t="n"/>
    </row>
    <row r="14" ht="20" customHeight="1">
      <c r="A14" s="36" t="inlineStr">
        <is>
          <t>Description du problème constaté</t>
        </is>
      </c>
      <c r="B14" s="100" t="n"/>
      <c r="C14" s="100" t="n"/>
      <c r="D14" s="49" t="n"/>
      <c r="E14" s="35" t="inlineStr"/>
      <c r="F14" s="100" t="n"/>
      <c r="G14" s="100" t="n"/>
      <c r="H14" s="100" t="n"/>
      <c r="I14" s="100" t="n"/>
      <c r="J14" s="100" t="n"/>
      <c r="K14" s="100" t="n"/>
      <c r="L14" s="49" t="n"/>
    </row>
    <row r="15" ht="20" customHeight="1">
      <c r="A15" s="36" t="inlineStr">
        <is>
          <t>Durée estimée d'immobilisation</t>
        </is>
      </c>
      <c r="B15" s="100" t="n"/>
      <c r="C15" s="100" t="n"/>
      <c r="D15" s="49" t="n"/>
      <c r="E15" s="35" t="inlineStr"/>
      <c r="F15" s="100" t="n"/>
      <c r="G15" s="100" t="n"/>
      <c r="H15" s="100" t="n"/>
      <c r="I15" s="100" t="n"/>
      <c r="J15" s="100" t="n"/>
      <c r="K15" s="100" t="n"/>
      <c r="L15" s="49" t="n"/>
    </row>
    <row r="16" ht="20" customHeight="1">
      <c r="A16" s="36" t="inlineStr">
        <is>
          <t>Prestataire / Mécanicien contacté</t>
        </is>
      </c>
      <c r="B16" s="100" t="n"/>
      <c r="C16" s="100" t="n"/>
      <c r="D16" s="49" t="n"/>
      <c r="E16" s="35" t="inlineStr"/>
      <c r="F16" s="100" t="n"/>
      <c r="G16" s="100" t="n"/>
      <c r="H16" s="100" t="n"/>
      <c r="I16" s="100" t="n"/>
      <c r="J16" s="100" t="n"/>
      <c r="K16" s="100" t="n"/>
      <c r="L16" s="49" t="n"/>
    </row>
    <row r="17" ht="20" customHeight="1">
      <c r="A17" s="36" t="inlineStr">
        <is>
          <t>Notifié à (Dispatcher + DFI + DT)</t>
        </is>
      </c>
      <c r="B17" s="100" t="n"/>
      <c r="C17" s="100" t="n"/>
      <c r="D17" s="49" t="n"/>
      <c r="E17" s="35" t="inlineStr"/>
      <c r="F17" s="100" t="n"/>
      <c r="G17" s="100" t="n"/>
      <c r="H17" s="100" t="n"/>
      <c r="I17" s="100" t="n"/>
      <c r="J17" s="100" t="n"/>
      <c r="K17" s="100" t="n"/>
      <c r="L17" s="49" t="n"/>
    </row>
    <row r="19" ht="16" customHeight="1">
      <c r="A19" s="5" t="inlineStr">
        <is>
          <t>Suivi des réparations / entretien (relier à DOC-G-01 + DOC-G-02)</t>
        </is>
      </c>
    </row>
    <row r="20" ht="20" customHeight="1">
      <c r="A20" s="43" t="inlineStr">
        <is>
          <t>Date</t>
        </is>
      </c>
      <c r="B20" s="104" t="n"/>
      <c r="C20" s="43" t="inlineStr">
        <is>
          <t>Nature intervention</t>
        </is>
      </c>
      <c r="D20" s="103" t="n"/>
      <c r="E20" s="104" t="n"/>
      <c r="F20" s="43" t="inlineStr">
        <is>
          <t>Pièce / Service</t>
        </is>
      </c>
      <c r="G20" s="104" t="n"/>
      <c r="H20" s="43" t="inlineStr">
        <is>
          <t>Fournisseur</t>
        </is>
      </c>
      <c r="I20" s="104" t="n"/>
      <c r="J20" s="43" t="inlineStr">
        <is>
          <t>Montant USD</t>
        </is>
      </c>
      <c r="K20" s="104" t="n"/>
      <c r="L20" s="43" t="inlineStr">
        <is>
          <t>Réf. Ordre Dépense</t>
        </is>
      </c>
    </row>
    <row r="21" ht="18" customHeight="1">
      <c r="A21" s="11" t="inlineStr"/>
      <c r="B21" s="49" t="n"/>
      <c r="C21" s="11" t="inlineStr"/>
      <c r="D21" s="100" t="n"/>
      <c r="E21" s="49" t="n"/>
      <c r="F21" s="11" t="inlineStr"/>
      <c r="G21" s="49" t="n"/>
      <c r="H21" s="11" t="inlineStr"/>
      <c r="I21" s="49" t="n"/>
      <c r="J21" s="11" t="inlineStr"/>
      <c r="K21" s="49" t="n"/>
      <c r="L21" s="11" t="inlineStr"/>
    </row>
    <row r="22" ht="18" customHeight="1">
      <c r="A22" s="40" t="inlineStr"/>
      <c r="B22" s="49" t="n"/>
      <c r="C22" s="40" t="inlineStr"/>
      <c r="D22" s="100" t="n"/>
      <c r="E22" s="49" t="n"/>
      <c r="F22" s="40" t="inlineStr"/>
      <c r="G22" s="49" t="n"/>
      <c r="H22" s="40" t="inlineStr"/>
      <c r="I22" s="49" t="n"/>
      <c r="J22" s="40" t="inlineStr"/>
      <c r="K22" s="49" t="n"/>
      <c r="L22" s="40" t="inlineStr"/>
    </row>
    <row r="23" ht="18" customHeight="1">
      <c r="A23" s="11" t="inlineStr"/>
      <c r="B23" s="49" t="n"/>
      <c r="C23" s="11" t="inlineStr"/>
      <c r="D23" s="100" t="n"/>
      <c r="E23" s="49" t="n"/>
      <c r="F23" s="11" t="inlineStr"/>
      <c r="G23" s="49" t="n"/>
      <c r="H23" s="11" t="inlineStr"/>
      <c r="I23" s="49" t="n"/>
      <c r="J23" s="11" t="inlineStr"/>
      <c r="K23" s="49" t="n"/>
      <c r="L23" s="11" t="inlineStr"/>
    </row>
    <row r="24" ht="18" customHeight="1">
      <c r="A24" s="40" t="inlineStr"/>
      <c r="B24" s="49" t="n"/>
      <c r="C24" s="40" t="inlineStr"/>
      <c r="D24" s="100" t="n"/>
      <c r="E24" s="49" t="n"/>
      <c r="F24" s="40" t="inlineStr"/>
      <c r="G24" s="49" t="n"/>
      <c r="H24" s="40" t="inlineStr"/>
      <c r="I24" s="49" t="n"/>
      <c r="J24" s="40" t="inlineStr"/>
      <c r="K24" s="49" t="n"/>
      <c r="L24" s="40" t="inlineStr"/>
    </row>
    <row r="25" ht="18" customHeight="1">
      <c r="A25" s="11" t="inlineStr"/>
      <c r="B25" s="49" t="n"/>
      <c r="C25" s="11" t="inlineStr"/>
      <c r="D25" s="100" t="n"/>
      <c r="E25" s="49" t="n"/>
      <c r="F25" s="11" t="inlineStr"/>
      <c r="G25" s="49" t="n"/>
      <c r="H25" s="11" t="inlineStr"/>
      <c r="I25" s="49" t="n"/>
      <c r="J25" s="11" t="inlineStr"/>
      <c r="K25" s="49" t="n"/>
      <c r="L25" s="11" t="inlineStr"/>
    </row>
    <row r="26" ht="18" customHeight="1">
      <c r="A26" s="40" t="inlineStr"/>
      <c r="B26" s="49" t="n"/>
      <c r="C26" s="40" t="inlineStr"/>
      <c r="D26" s="100" t="n"/>
      <c r="E26" s="49" t="n"/>
      <c r="F26" s="40" t="inlineStr"/>
      <c r="G26" s="49" t="n"/>
      <c r="H26" s="40" t="inlineStr"/>
      <c r="I26" s="49" t="n"/>
      <c r="J26" s="40" t="inlineStr"/>
      <c r="K26" s="49" t="n"/>
      <c r="L26" s="40" t="inlineStr"/>
    </row>
    <row r="28" ht="16" customHeight="1">
      <c r="A28" s="5" t="inlineStr">
        <is>
          <t>Remise en service</t>
        </is>
      </c>
    </row>
    <row r="29" ht="20" customHeight="1">
      <c r="A29" s="34" t="inlineStr">
        <is>
          <t>Date &amp; heure de remise en service</t>
        </is>
      </c>
      <c r="B29" s="100" t="n"/>
      <c r="C29" s="100" t="n"/>
      <c r="D29" s="49" t="n"/>
      <c r="E29" s="35" t="inlineStr"/>
      <c r="F29" s="100" t="n"/>
      <c r="G29" s="100" t="n"/>
      <c r="H29" s="100" t="n"/>
      <c r="I29" s="100" t="n"/>
      <c r="J29" s="100" t="n"/>
      <c r="K29" s="100" t="n"/>
      <c r="L29" s="49" t="n"/>
    </row>
    <row r="30" ht="20" customHeight="1">
      <c r="A30" s="34" t="inlineStr">
        <is>
          <t>Travaux effectués (résumé)</t>
        </is>
      </c>
      <c r="B30" s="100" t="n"/>
      <c r="C30" s="100" t="n"/>
      <c r="D30" s="49" t="n"/>
      <c r="E30" s="35" t="inlineStr"/>
      <c r="F30" s="100" t="n"/>
      <c r="G30" s="100" t="n"/>
      <c r="H30" s="100" t="n"/>
      <c r="I30" s="100" t="n"/>
      <c r="J30" s="100" t="n"/>
      <c r="K30" s="100" t="n"/>
      <c r="L30" s="49" t="n"/>
    </row>
    <row r="31" ht="20" customHeight="1">
      <c r="A31" s="34" t="inlineStr">
        <is>
          <t>Bon de réception travaux / PV contrôle technique (N°)</t>
        </is>
      </c>
      <c r="B31" s="100" t="n"/>
      <c r="C31" s="100" t="n"/>
      <c r="D31" s="49" t="n"/>
      <c r="E31" s="35" t="inlineStr"/>
      <c r="F31" s="100" t="n"/>
      <c r="G31" s="100" t="n"/>
      <c r="H31" s="100" t="n"/>
      <c r="I31" s="100" t="n"/>
      <c r="J31" s="100" t="n"/>
      <c r="K31" s="100" t="n"/>
      <c r="L31" s="49" t="n"/>
    </row>
    <row r="32" ht="20" customHeight="1">
      <c r="A32" s="34" t="inlineStr">
        <is>
          <t>Coût total de l'immobilisation (USD)</t>
        </is>
      </c>
      <c r="B32" s="100" t="n"/>
      <c r="C32" s="100" t="n"/>
      <c r="D32" s="49" t="n"/>
      <c r="E32" s="35" t="inlineStr"/>
      <c r="F32" s="100" t="n"/>
      <c r="G32" s="100" t="n"/>
      <c r="H32" s="100" t="n"/>
      <c r="I32" s="100" t="n"/>
      <c r="J32" s="100" t="n"/>
      <c r="K32" s="100" t="n"/>
      <c r="L32" s="49" t="n"/>
    </row>
    <row r="33" ht="20" customHeight="1">
      <c r="A33" s="34" t="inlineStr">
        <is>
          <t>Dispatcher informé ?</t>
        </is>
      </c>
      <c r="B33" s="100" t="n"/>
      <c r="C33" s="100" t="n"/>
      <c r="D33" s="49" t="n"/>
      <c r="E33" s="35" t="inlineStr"/>
      <c r="F33" s="100" t="n"/>
      <c r="G33" s="100" t="n"/>
      <c r="H33" s="100" t="n"/>
      <c r="I33" s="100" t="n"/>
      <c r="J33" s="100" t="n"/>
      <c r="K33" s="100" t="n"/>
      <c r="L33" s="49" t="n"/>
    </row>
    <row r="36" ht="16" customHeight="1">
      <c r="A36" s="39" t="inlineStr">
        <is>
          <t>Ass. Tech. Vinciane
(ouverture &amp; clôture)</t>
        </is>
      </c>
      <c r="B36" s="101" t="n"/>
      <c r="C36" s="101" t="n"/>
      <c r="D36" s="102" t="n"/>
      <c r="E36" s="39" t="inlineStr">
        <is>
          <t>DT Groupe
(visa technique)</t>
        </is>
      </c>
      <c r="F36" s="101" t="n"/>
      <c r="G36" s="101" t="n"/>
      <c r="H36" s="102" t="n"/>
      <c r="I36" s="39" t="inlineStr">
        <is>
          <t>DFI
(information)</t>
        </is>
      </c>
      <c r="J36" s="101" t="n"/>
      <c r="K36" s="101" t="n"/>
      <c r="L36" s="102" t="n"/>
    </row>
    <row r="37" ht="48" customHeight="1">
      <c r="A37" s="40" t="inlineStr"/>
      <c r="B37" s="100" t="n"/>
      <c r="C37" s="100" t="n"/>
      <c r="D37" s="49" t="n"/>
      <c r="E37" s="40" t="inlineStr"/>
      <c r="F37" s="100" t="n"/>
      <c r="G37" s="100" t="n"/>
      <c r="H37" s="49" t="n"/>
      <c r="I37" s="40" t="inlineStr"/>
      <c r="J37" s="100" t="n"/>
      <c r="K37" s="100" t="n"/>
      <c r="L37" s="49" t="n"/>
    </row>
    <row r="39" ht="13" customHeight="1">
      <c r="A39" s="41" t="inlineStr">
        <is>
          <t>DOC-KL-03 — Fiche d'Immobilisation Camion — KAKO Logistique — KILIMA Holdings</t>
        </is>
      </c>
    </row>
  </sheetData>
  <mergeCells count="78">
    <mergeCell ref="F25:G25"/>
    <mergeCell ref="E33:L33"/>
    <mergeCell ref="A29:D29"/>
    <mergeCell ref="C21:E21"/>
    <mergeCell ref="A13:D13"/>
    <mergeCell ref="E37:H37"/>
    <mergeCell ref="A31:D31"/>
    <mergeCell ref="C23:E23"/>
    <mergeCell ref="A15:D15"/>
    <mergeCell ref="E30:L30"/>
    <mergeCell ref="F23:G23"/>
    <mergeCell ref="A7:D7"/>
    <mergeCell ref="A16:D16"/>
    <mergeCell ref="A22:B22"/>
    <mergeCell ref="J21:K21"/>
    <mergeCell ref="E32:L32"/>
    <mergeCell ref="A6:L6"/>
    <mergeCell ref="H23:I23"/>
    <mergeCell ref="A33:D33"/>
    <mergeCell ref="J23:K23"/>
    <mergeCell ref="C20:E20"/>
    <mergeCell ref="C25:E25"/>
    <mergeCell ref="E36:H36"/>
    <mergeCell ref="A17:D17"/>
    <mergeCell ref="C22:E22"/>
    <mergeCell ref="A3:L3"/>
    <mergeCell ref="E8:L8"/>
    <mergeCell ref="E17:L17"/>
    <mergeCell ref="H25:I25"/>
    <mergeCell ref="A9:D9"/>
    <mergeCell ref="F20:G20"/>
    <mergeCell ref="A30:D30"/>
    <mergeCell ref="A4:L4"/>
    <mergeCell ref="E9:L9"/>
    <mergeCell ref="A26:B26"/>
    <mergeCell ref="J20:K20"/>
    <mergeCell ref="A2:H2"/>
    <mergeCell ref="J22:K22"/>
    <mergeCell ref="C24:E24"/>
    <mergeCell ref="C26:E26"/>
    <mergeCell ref="E12:L12"/>
    <mergeCell ref="A8:D8"/>
    <mergeCell ref="E14:L14"/>
    <mergeCell ref="F21:G21"/>
    <mergeCell ref="H21:I21"/>
    <mergeCell ref="J24:K24"/>
    <mergeCell ref="I2:L2"/>
    <mergeCell ref="A36:D36"/>
    <mergeCell ref="J26:K26"/>
    <mergeCell ref="A21:B21"/>
    <mergeCell ref="J25:K25"/>
    <mergeCell ref="F22:G22"/>
    <mergeCell ref="H22:I22"/>
    <mergeCell ref="A23:B23"/>
    <mergeCell ref="I37:L37"/>
    <mergeCell ref="A37:D37"/>
    <mergeCell ref="A12:D12"/>
    <mergeCell ref="A32:D32"/>
    <mergeCell ref="A14:D14"/>
    <mergeCell ref="A24:B24"/>
    <mergeCell ref="H20:I20"/>
    <mergeCell ref="F24:G24"/>
    <mergeCell ref="A25:B25"/>
    <mergeCell ref="E29:L29"/>
    <mergeCell ref="E13:L13"/>
    <mergeCell ref="F26:G26"/>
    <mergeCell ref="E31:L31"/>
    <mergeCell ref="I36:L36"/>
    <mergeCell ref="E15:L15"/>
    <mergeCell ref="A19:L19"/>
    <mergeCell ref="A28:L28"/>
    <mergeCell ref="A39:L39"/>
    <mergeCell ref="A20:B20"/>
    <mergeCell ref="E7:L7"/>
    <mergeCell ref="A11:L11"/>
    <mergeCell ref="H24:I24"/>
    <mergeCell ref="E16:L16"/>
    <mergeCell ref="H26:I26"/>
  </mergeCells>
  <pageMargins left="0.5" right="0.5" top="0.6" bottom="0.6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L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8" customHeight="1"/>
    <row r="2" ht="26" customHeight="1">
      <c r="A2" s="30" t="inlineStr">
        <is>
          <t>KILIMA Holdings</t>
        </is>
      </c>
      <c r="I2" s="31" t="inlineStr">
        <is>
          <t>DOC-KL-04</t>
        </is>
      </c>
    </row>
    <row r="3" ht="18" customHeight="1">
      <c r="A3" s="32" t="inlineStr">
        <is>
          <t>TABLEAU DE DISPONIBILITÉ DE LA FLOTTE</t>
        </is>
      </c>
    </row>
    <row r="4" ht="16" customHeight="1">
      <c r="A4" s="33" t="inlineStr">
        <is>
          <t>KAKO Logistique — Mis à jour en temps réel par le Dispatcher / Ass. Tech. Vinciane</t>
        </is>
      </c>
    </row>
    <row r="5" ht="6" customHeight="1"/>
    <row r="6" ht="16" customHeight="1">
      <c r="A6" s="5" t="inlineStr">
        <is>
          <t>En-tête</t>
        </is>
      </c>
    </row>
    <row r="7" ht="20" customHeight="1">
      <c r="A7" s="34" t="inlineStr">
        <is>
          <t>Date de mise à jour</t>
        </is>
      </c>
      <c r="B7" s="100" t="n"/>
      <c r="C7" s="100" t="n"/>
      <c r="D7" s="49" t="n"/>
      <c r="E7" s="35" t="inlineStr"/>
      <c r="F7" s="100" t="n"/>
      <c r="G7" s="100" t="n"/>
      <c r="H7" s="100" t="n"/>
      <c r="I7" s="100" t="n"/>
      <c r="J7" s="100" t="n"/>
      <c r="K7" s="100" t="n"/>
      <c r="L7" s="49" t="n"/>
    </row>
    <row r="8" ht="20" customHeight="1">
      <c r="A8" s="34" t="inlineStr">
        <is>
          <t>Mis à jour par</t>
        </is>
      </c>
      <c r="B8" s="100" t="n"/>
      <c r="C8" s="100" t="n"/>
      <c r="D8" s="49" t="n"/>
      <c r="E8" s="35" t="inlineStr"/>
      <c r="F8" s="100" t="n"/>
      <c r="G8" s="100" t="n"/>
      <c r="H8" s="100" t="n"/>
      <c r="I8" s="100" t="n"/>
      <c r="J8" s="100" t="n"/>
      <c r="K8" s="100" t="n"/>
      <c r="L8" s="49" t="n"/>
    </row>
    <row r="10" ht="16" customHeight="1">
      <c r="A10" s="5" t="inlineStr">
        <is>
          <t>État de la flotte</t>
        </is>
      </c>
    </row>
    <row r="11" ht="28" customHeight="1">
      <c r="A11" s="43" t="inlineStr">
        <is>
          <t>N° Camion</t>
        </is>
      </c>
      <c r="B11" s="43" t="inlineStr">
        <is>
          <t>Immatr.</t>
        </is>
      </c>
      <c r="C11" s="43" t="inlineStr">
        <is>
          <t>Chauffeur attitré</t>
        </is>
      </c>
      <c r="D11" s="104" t="n"/>
      <c r="E11" s="43" t="inlineStr">
        <is>
          <t>Statut actuel</t>
        </is>
      </c>
      <c r="F11" s="104" t="n"/>
      <c r="G11" s="43" t="inlineStr">
        <is>
          <t>N° Course en cours</t>
        </is>
      </c>
      <c r="H11" s="43" t="inlineStr">
        <is>
          <t>Destination</t>
        </is>
      </c>
      <c r="I11" s="104" t="n"/>
      <c r="J11" s="43" t="inlineStr">
        <is>
          <t>Retour prévu</t>
        </is>
      </c>
      <c r="K11" s="43" t="inlineStr">
        <is>
          <t>Prochain entretien</t>
        </is>
      </c>
      <c r="L11" s="43" t="inlineStr">
        <is>
          <t>Observations</t>
        </is>
      </c>
    </row>
    <row r="12" ht="20" customHeight="1">
      <c r="A12" s="48" t="inlineStr">
        <is>
          <t>1</t>
        </is>
      </c>
      <c r="B12" s="40" t="inlineStr"/>
      <c r="C12" s="40" t="inlineStr"/>
      <c r="D12" s="49" t="n"/>
      <c r="E12" s="35" t="inlineStr"/>
      <c r="F12" s="49" t="n"/>
      <c r="G12" s="40" t="inlineStr"/>
      <c r="H12" s="40" t="inlineStr"/>
      <c r="I12" s="49" t="n"/>
      <c r="J12" s="40" t="inlineStr"/>
      <c r="K12" s="40" t="inlineStr"/>
      <c r="L12" s="40" t="inlineStr"/>
    </row>
    <row r="13" ht="20" customHeight="1">
      <c r="A13" s="9" t="inlineStr">
        <is>
          <t>2</t>
        </is>
      </c>
      <c r="B13" s="11" t="inlineStr"/>
      <c r="C13" s="11" t="inlineStr"/>
      <c r="D13" s="49" t="n"/>
      <c r="E13" s="35" t="inlineStr"/>
      <c r="F13" s="49" t="n"/>
      <c r="G13" s="11" t="inlineStr"/>
      <c r="H13" s="11" t="inlineStr"/>
      <c r="I13" s="49" t="n"/>
      <c r="J13" s="11" t="inlineStr"/>
      <c r="K13" s="11" t="inlineStr"/>
      <c r="L13" s="11" t="inlineStr"/>
    </row>
    <row r="14" ht="20" customHeight="1">
      <c r="A14" s="48" t="inlineStr">
        <is>
          <t>3</t>
        </is>
      </c>
      <c r="B14" s="40" t="inlineStr"/>
      <c r="C14" s="40" t="inlineStr"/>
      <c r="D14" s="49" t="n"/>
      <c r="E14" s="35" t="inlineStr"/>
      <c r="F14" s="49" t="n"/>
      <c r="G14" s="40" t="inlineStr"/>
      <c r="H14" s="40" t="inlineStr"/>
      <c r="I14" s="49" t="n"/>
      <c r="J14" s="40" t="inlineStr"/>
      <c r="K14" s="40" t="inlineStr"/>
      <c r="L14" s="40" t="inlineStr"/>
    </row>
    <row r="15" ht="20" customHeight="1">
      <c r="A15" s="9" t="inlineStr">
        <is>
          <t>4</t>
        </is>
      </c>
      <c r="B15" s="11" t="inlineStr"/>
      <c r="C15" s="11" t="inlineStr"/>
      <c r="D15" s="49" t="n"/>
      <c r="E15" s="35" t="inlineStr"/>
      <c r="F15" s="49" t="n"/>
      <c r="G15" s="11" t="inlineStr"/>
      <c r="H15" s="11" t="inlineStr"/>
      <c r="I15" s="49" t="n"/>
      <c r="J15" s="11" t="inlineStr"/>
      <c r="K15" s="11" t="inlineStr"/>
      <c r="L15" s="11" t="inlineStr"/>
    </row>
    <row r="16" ht="20" customHeight="1">
      <c r="A16" s="48" t="inlineStr">
        <is>
          <t>5</t>
        </is>
      </c>
      <c r="B16" s="40" t="inlineStr"/>
      <c r="C16" s="40" t="inlineStr"/>
      <c r="D16" s="49" t="n"/>
      <c r="E16" s="35" t="inlineStr"/>
      <c r="F16" s="49" t="n"/>
      <c r="G16" s="40" t="inlineStr"/>
      <c r="H16" s="40" t="inlineStr"/>
      <c r="I16" s="49" t="n"/>
      <c r="J16" s="40" t="inlineStr"/>
      <c r="K16" s="40" t="inlineStr"/>
      <c r="L16" s="40" t="inlineStr"/>
    </row>
    <row r="17" ht="20" customHeight="1">
      <c r="A17" s="9" t="inlineStr">
        <is>
          <t>6</t>
        </is>
      </c>
      <c r="B17" s="11" t="inlineStr"/>
      <c r="C17" s="11" t="inlineStr"/>
      <c r="D17" s="49" t="n"/>
      <c r="E17" s="35" t="inlineStr"/>
      <c r="F17" s="49" t="n"/>
      <c r="G17" s="11" t="inlineStr"/>
      <c r="H17" s="11" t="inlineStr"/>
      <c r="I17" s="49" t="n"/>
      <c r="J17" s="11" t="inlineStr"/>
      <c r="K17" s="11" t="inlineStr"/>
      <c r="L17" s="11" t="inlineStr"/>
    </row>
    <row r="18" ht="20" customHeight="1">
      <c r="A18" s="48" t="inlineStr">
        <is>
          <t>7</t>
        </is>
      </c>
      <c r="B18" s="40" t="inlineStr"/>
      <c r="C18" s="40" t="inlineStr"/>
      <c r="D18" s="49" t="n"/>
      <c r="E18" s="35" t="inlineStr"/>
      <c r="F18" s="49" t="n"/>
      <c r="G18" s="40" t="inlineStr"/>
      <c r="H18" s="40" t="inlineStr"/>
      <c r="I18" s="49" t="n"/>
      <c r="J18" s="40" t="inlineStr"/>
      <c r="K18" s="40" t="inlineStr"/>
      <c r="L18" s="40" t="inlineStr"/>
    </row>
    <row r="19" ht="20" customHeight="1">
      <c r="A19" s="9" t="inlineStr">
        <is>
          <t>8</t>
        </is>
      </c>
      <c r="B19" s="11" t="inlineStr"/>
      <c r="C19" s="11" t="inlineStr"/>
      <c r="D19" s="49" t="n"/>
      <c r="E19" s="35" t="inlineStr"/>
      <c r="F19" s="49" t="n"/>
      <c r="G19" s="11" t="inlineStr"/>
      <c r="H19" s="11" t="inlineStr"/>
      <c r="I19" s="49" t="n"/>
      <c r="J19" s="11" t="inlineStr"/>
      <c r="K19" s="11" t="inlineStr"/>
      <c r="L19" s="11" t="inlineStr"/>
    </row>
    <row r="20" ht="20" customHeight="1">
      <c r="A20" s="48" t="inlineStr">
        <is>
          <t>9</t>
        </is>
      </c>
      <c r="B20" s="40" t="inlineStr"/>
      <c r="C20" s="40" t="inlineStr"/>
      <c r="D20" s="49" t="n"/>
      <c r="E20" s="35" t="inlineStr"/>
      <c r="F20" s="49" t="n"/>
      <c r="G20" s="40" t="inlineStr"/>
      <c r="H20" s="40" t="inlineStr"/>
      <c r="I20" s="49" t="n"/>
      <c r="J20" s="40" t="inlineStr"/>
      <c r="K20" s="40" t="inlineStr"/>
      <c r="L20" s="40" t="inlineStr"/>
    </row>
    <row r="21" ht="20" customHeight="1">
      <c r="A21" s="9" t="inlineStr">
        <is>
          <t>10</t>
        </is>
      </c>
      <c r="B21" s="11" t="inlineStr"/>
      <c r="C21" s="11" t="inlineStr"/>
      <c r="D21" s="49" t="n"/>
      <c r="E21" s="35" t="inlineStr"/>
      <c r="F21" s="49" t="n"/>
      <c r="G21" s="11" t="inlineStr"/>
      <c r="H21" s="11" t="inlineStr"/>
      <c r="I21" s="49" t="n"/>
      <c r="J21" s="11" t="inlineStr"/>
      <c r="K21" s="11" t="inlineStr"/>
      <c r="L21" s="11" t="inlineStr"/>
    </row>
    <row r="22" ht="20" customHeight="1">
      <c r="A22" s="48" t="inlineStr">
        <is>
          <t>11</t>
        </is>
      </c>
      <c r="B22" s="40" t="inlineStr"/>
      <c r="C22" s="40" t="inlineStr"/>
      <c r="D22" s="49" t="n"/>
      <c r="E22" s="35" t="inlineStr"/>
      <c r="F22" s="49" t="n"/>
      <c r="G22" s="40" t="inlineStr"/>
      <c r="H22" s="40" t="inlineStr"/>
      <c r="I22" s="49" t="n"/>
      <c r="J22" s="40" t="inlineStr"/>
      <c r="K22" s="40" t="inlineStr"/>
      <c r="L22" s="40" t="inlineStr"/>
    </row>
    <row r="23" ht="20" customHeight="1">
      <c r="A23" s="9" t="inlineStr">
        <is>
          <t>12</t>
        </is>
      </c>
      <c r="B23" s="11" t="inlineStr"/>
      <c r="C23" s="11" t="inlineStr"/>
      <c r="D23" s="49" t="n"/>
      <c r="E23" s="35" t="inlineStr"/>
      <c r="F23" s="49" t="n"/>
      <c r="G23" s="11" t="inlineStr"/>
      <c r="H23" s="11" t="inlineStr"/>
      <c r="I23" s="49" t="n"/>
      <c r="J23" s="11" t="inlineStr"/>
      <c r="K23" s="11" t="inlineStr"/>
      <c r="L23" s="11" t="inlineStr"/>
    </row>
    <row r="24" ht="20" customHeight="1">
      <c r="A24" s="48" t="inlineStr">
        <is>
          <t>13</t>
        </is>
      </c>
      <c r="B24" s="40" t="inlineStr"/>
      <c r="C24" s="40" t="inlineStr"/>
      <c r="D24" s="49" t="n"/>
      <c r="E24" s="35" t="inlineStr"/>
      <c r="F24" s="49" t="n"/>
      <c r="G24" s="40" t="inlineStr"/>
      <c r="H24" s="40" t="inlineStr"/>
      <c r="I24" s="49" t="n"/>
      <c r="J24" s="40" t="inlineStr"/>
      <c r="K24" s="40" t="inlineStr"/>
      <c r="L24" s="40" t="inlineStr"/>
    </row>
    <row r="25" ht="20" customHeight="1">
      <c r="A25" s="9" t="inlineStr">
        <is>
          <t>14</t>
        </is>
      </c>
      <c r="B25" s="11" t="inlineStr"/>
      <c r="C25" s="11" t="inlineStr"/>
      <c r="D25" s="49" t="n"/>
      <c r="E25" s="35" t="inlineStr"/>
      <c r="F25" s="49" t="n"/>
      <c r="G25" s="11" t="inlineStr"/>
      <c r="H25" s="11" t="inlineStr"/>
      <c r="I25" s="49" t="n"/>
      <c r="J25" s="11" t="inlineStr"/>
      <c r="K25" s="11" t="inlineStr"/>
      <c r="L25" s="11" t="inlineStr"/>
    </row>
    <row r="26" ht="20" customHeight="1">
      <c r="A26" s="48" t="inlineStr">
        <is>
          <t>15</t>
        </is>
      </c>
      <c r="B26" s="40" t="inlineStr"/>
      <c r="C26" s="40" t="inlineStr"/>
      <c r="D26" s="49" t="n"/>
      <c r="E26" s="35" t="inlineStr"/>
      <c r="F26" s="49" t="n"/>
      <c r="G26" s="40" t="inlineStr"/>
      <c r="H26" s="40" t="inlineStr"/>
      <c r="I26" s="49" t="n"/>
      <c r="J26" s="40" t="inlineStr"/>
      <c r="K26" s="40" t="inlineStr"/>
      <c r="L26" s="40" t="inlineStr"/>
    </row>
    <row r="28" ht="16" customHeight="1">
      <c r="A28" s="50" t="inlineStr">
        <is>
          <t>Légende des statuts</t>
        </is>
      </c>
    </row>
    <row r="29" ht="18" customHeight="1">
      <c r="A29" s="51" t="inlineStr">
        <is>
          <t>■  Disponible</t>
        </is>
      </c>
      <c r="D29" s="52" t="inlineStr">
        <is>
          <t>■  En course</t>
        </is>
      </c>
      <c r="G29" s="53" t="inlineStr">
        <is>
          <t>■  En maintenance</t>
        </is>
      </c>
      <c r="J29" s="54" t="inlineStr">
        <is>
          <t>■  Immobilisé</t>
        </is>
      </c>
    </row>
    <row r="31" ht="14" customHeight="1">
      <c r="A31" s="55" t="inlineStr">
        <is>
          <t>Règle absolue : Aucun camion avec statut AUTRE QUE 'Disponible' ne peut être affecté à une course.</t>
        </is>
      </c>
    </row>
    <row r="33" ht="13" customHeight="1">
      <c r="A33" s="41" t="inlineStr">
        <is>
          <t>DOC-KL-04 — Tableau de Disponibilité Flotte — KAKO Logistique — KILIMA Holdings</t>
        </is>
      </c>
    </row>
  </sheetData>
  <mergeCells count="65">
    <mergeCell ref="E12:F12"/>
    <mergeCell ref="A8:D8"/>
    <mergeCell ref="H20:I20"/>
    <mergeCell ref="C24:D24"/>
    <mergeCell ref="C15:D15"/>
    <mergeCell ref="E24:F24"/>
    <mergeCell ref="C14:D14"/>
    <mergeCell ref="E23:F23"/>
    <mergeCell ref="E14:F14"/>
    <mergeCell ref="A3:L3"/>
    <mergeCell ref="E17:F17"/>
    <mergeCell ref="C26:D26"/>
    <mergeCell ref="C18:D18"/>
    <mergeCell ref="E8:L8"/>
    <mergeCell ref="C20:D20"/>
    <mergeCell ref="H25:I25"/>
    <mergeCell ref="E20:F20"/>
    <mergeCell ref="H21:I21"/>
    <mergeCell ref="C16:D16"/>
    <mergeCell ref="A33:L33"/>
    <mergeCell ref="C25:D25"/>
    <mergeCell ref="E19:F19"/>
    <mergeCell ref="E13:F13"/>
    <mergeCell ref="C22:D22"/>
    <mergeCell ref="I2:L2"/>
    <mergeCell ref="A29:C29"/>
    <mergeCell ref="G29:I29"/>
    <mergeCell ref="A4:L4"/>
    <mergeCell ref="H17:I17"/>
    <mergeCell ref="H11:I11"/>
    <mergeCell ref="C12:D12"/>
    <mergeCell ref="A10:L10"/>
    <mergeCell ref="C21:D21"/>
    <mergeCell ref="D29:F29"/>
    <mergeCell ref="E15:F15"/>
    <mergeCell ref="H16:I16"/>
    <mergeCell ref="C11:D11"/>
    <mergeCell ref="A2:H2"/>
    <mergeCell ref="A28:L28"/>
    <mergeCell ref="E11:F11"/>
    <mergeCell ref="A31:L31"/>
    <mergeCell ref="A7:D7"/>
    <mergeCell ref="H19:I19"/>
    <mergeCell ref="H22:I22"/>
    <mergeCell ref="E26:F26"/>
    <mergeCell ref="H13:I13"/>
    <mergeCell ref="C17:D17"/>
    <mergeCell ref="C23:D23"/>
    <mergeCell ref="J29:L29"/>
    <mergeCell ref="H12:I12"/>
    <mergeCell ref="E16:F16"/>
    <mergeCell ref="E7:L7"/>
    <mergeCell ref="H24:I24"/>
    <mergeCell ref="E25:F25"/>
    <mergeCell ref="H15:I15"/>
    <mergeCell ref="H18:I18"/>
    <mergeCell ref="C19:D19"/>
    <mergeCell ref="A6:L6"/>
    <mergeCell ref="E22:F22"/>
    <mergeCell ref="C13:D13"/>
    <mergeCell ref="H23:I23"/>
    <mergeCell ref="H14:I14"/>
    <mergeCell ref="E18:F18"/>
    <mergeCell ref="E21:F21"/>
    <mergeCell ref="H26:I26"/>
  </mergeCells>
  <pageMargins left="0.5" right="0.5" top="0.6" bottom="0.6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L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6" customWidth="1" min="3" max="3"/>
    <col width="10" customWidth="1" min="4" max="4"/>
    <col width="16" customWidth="1" min="5" max="5"/>
    <col width="8" customWidth="1" min="6" max="6"/>
    <col width="8" customWidth="1" min="7" max="7"/>
    <col width="10" customWidth="1" min="8" max="8"/>
    <col width="8" customWidth="1" min="9" max="9"/>
    <col width="8" customWidth="1" min="10" max="10"/>
    <col width="10" customWidth="1" min="11" max="11"/>
    <col width="8" customWidth="1" min="12" max="12"/>
  </cols>
  <sheetData>
    <row r="1" ht="8" customHeight="1"/>
    <row r="2" ht="26" customHeight="1">
      <c r="A2" s="30" t="inlineStr">
        <is>
          <t>KILIMA Holdings</t>
        </is>
      </c>
      <c r="I2" s="31" t="inlineStr">
        <is>
          <t>DOC-KS-01</t>
        </is>
      </c>
    </row>
    <row r="3" ht="18" customHeight="1">
      <c r="A3" s="56" t="inlineStr">
        <is>
          <t>BON DE TRANSFERT INTER-SITES</t>
        </is>
      </c>
    </row>
    <row r="4" ht="16" customHeight="1">
      <c r="A4" s="57" t="inlineStr">
        <is>
          <t>KAKO Sarl — Transfert exceptionnel de stock entre Likasi et Kolwezi (ou inversement)</t>
        </is>
      </c>
    </row>
    <row r="5" ht="6" customHeight="1"/>
    <row r="6" ht="16" customHeight="1">
      <c r="A6" s="25" t="inlineStr">
        <is>
          <t>Identification du transfert</t>
        </is>
      </c>
    </row>
    <row r="7" ht="20" customHeight="1">
      <c r="A7" s="38" t="inlineStr">
        <is>
          <t>N° Bon de Transfert</t>
        </is>
      </c>
      <c r="B7" s="100" t="n"/>
      <c r="C7" s="100" t="n"/>
      <c r="D7" s="49" t="n"/>
      <c r="E7" s="35" t="inlineStr"/>
      <c r="F7" s="100" t="n"/>
      <c r="G7" s="100" t="n"/>
      <c r="H7" s="100" t="n"/>
      <c r="I7" s="100" t="n"/>
      <c r="J7" s="100" t="n"/>
      <c r="K7" s="100" t="n"/>
      <c r="L7" s="49" t="n"/>
    </row>
    <row r="8" ht="20" customHeight="1">
      <c r="A8" s="38" t="inlineStr">
        <is>
          <t>Date</t>
        </is>
      </c>
      <c r="B8" s="100" t="n"/>
      <c r="C8" s="100" t="n"/>
      <c r="D8" s="49" t="n"/>
      <c r="E8" s="35" t="inlineStr"/>
      <c r="F8" s="100" t="n"/>
      <c r="G8" s="100" t="n"/>
      <c r="H8" s="100" t="n"/>
      <c r="I8" s="100" t="n"/>
      <c r="J8" s="100" t="n"/>
      <c r="K8" s="100" t="n"/>
      <c r="L8" s="49" t="n"/>
    </row>
    <row r="9" ht="20" customHeight="1">
      <c r="A9" s="38" t="inlineStr">
        <is>
          <t>Site cédant (qui envoie)</t>
        </is>
      </c>
      <c r="B9" s="100" t="n"/>
      <c r="C9" s="100" t="n"/>
      <c r="D9" s="49" t="n"/>
      <c r="E9" s="35" t="inlineStr"/>
      <c r="F9" s="100" t="n"/>
      <c r="G9" s="100" t="n"/>
      <c r="H9" s="100" t="n"/>
      <c r="I9" s="100" t="n"/>
      <c r="J9" s="100" t="n"/>
      <c r="K9" s="100" t="n"/>
      <c r="L9" s="49" t="n"/>
    </row>
    <row r="10" ht="20" customHeight="1">
      <c r="A10" s="38" t="inlineStr">
        <is>
          <t>Site destinataire (qui reçoit)</t>
        </is>
      </c>
      <c r="B10" s="100" t="n"/>
      <c r="C10" s="100" t="n"/>
      <c r="D10" s="49" t="n"/>
      <c r="E10" s="35" t="inlineStr"/>
      <c r="F10" s="100" t="n"/>
      <c r="G10" s="100" t="n"/>
      <c r="H10" s="100" t="n"/>
      <c r="I10" s="100" t="n"/>
      <c r="J10" s="100" t="n"/>
      <c r="K10" s="100" t="n"/>
      <c r="L10" s="49" t="n"/>
    </row>
    <row r="11" ht="20" customHeight="1">
      <c r="A11" s="38" t="inlineStr">
        <is>
          <t>Réf. autorisation DFI (e-mail / N°)</t>
        </is>
      </c>
      <c r="B11" s="100" t="n"/>
      <c r="C11" s="100" t="n"/>
      <c r="D11" s="49" t="n"/>
      <c r="E11" s="35" t="inlineStr"/>
      <c r="F11" s="100" t="n"/>
      <c r="G11" s="100" t="n"/>
      <c r="H11" s="100" t="n"/>
      <c r="I11" s="100" t="n"/>
      <c r="J11" s="100" t="n"/>
      <c r="K11" s="100" t="n"/>
      <c r="L11" s="49" t="n"/>
    </row>
    <row r="12" ht="20" customHeight="1">
      <c r="A12" s="38" t="inlineStr">
        <is>
          <t>Motif du transfert (rupture imminente / surplus …)</t>
        </is>
      </c>
      <c r="B12" s="100" t="n"/>
      <c r="C12" s="100" t="n"/>
      <c r="D12" s="49" t="n"/>
      <c r="E12" s="35" t="inlineStr"/>
      <c r="F12" s="100" t="n"/>
      <c r="G12" s="100" t="n"/>
      <c r="H12" s="100" t="n"/>
      <c r="I12" s="100" t="n"/>
      <c r="J12" s="100" t="n"/>
      <c r="K12" s="100" t="n"/>
      <c r="L12" s="49" t="n"/>
    </row>
    <row r="13" ht="20" customHeight="1">
      <c r="A13" s="38" t="inlineStr">
        <is>
          <t>Transporteur (KAKO Logistique / autre)</t>
        </is>
      </c>
      <c r="B13" s="100" t="n"/>
      <c r="C13" s="100" t="n"/>
      <c r="D13" s="49" t="n"/>
      <c r="E13" s="35" t="inlineStr"/>
      <c r="F13" s="100" t="n"/>
      <c r="G13" s="100" t="n"/>
      <c r="H13" s="100" t="n"/>
      <c r="I13" s="100" t="n"/>
      <c r="J13" s="100" t="n"/>
      <c r="K13" s="100" t="n"/>
      <c r="L13" s="49" t="n"/>
    </row>
    <row r="15" ht="16" customHeight="1">
      <c r="A15" s="25" t="inlineStr">
        <is>
          <t>Détail des articles transférés</t>
        </is>
      </c>
    </row>
    <row r="16" ht="20" customHeight="1">
      <c r="A16" s="58" t="inlineStr">
        <is>
          <t>N°</t>
        </is>
      </c>
      <c r="B16" s="58" t="inlineStr">
        <is>
          <t>Type de produit</t>
        </is>
      </c>
      <c r="C16" s="105" t="n"/>
      <c r="D16" s="58" t="inlineStr">
        <is>
          <t>Référence</t>
        </is>
      </c>
      <c r="E16" s="105" t="n"/>
      <c r="F16" s="58" t="inlineStr">
        <is>
          <t>Unité</t>
        </is>
      </c>
      <c r="G16" s="58" t="inlineStr">
        <is>
          <t>Quantité transférée</t>
        </is>
      </c>
      <c r="H16" s="58" t="inlineStr">
        <is>
          <t>Prix unitaire (USD)</t>
        </is>
      </c>
      <c r="I16" s="105" t="n"/>
      <c r="J16" s="58" t="inlineStr">
        <is>
          <t>Valeur totale (USD)</t>
        </is>
      </c>
      <c r="K16" s="105" t="n"/>
      <c r="L16" s="58" t="inlineStr">
        <is>
          <t>Observations</t>
        </is>
      </c>
    </row>
    <row r="17" ht="18" customHeight="1">
      <c r="A17" s="11" t="inlineStr"/>
      <c r="B17" s="11" t="inlineStr"/>
      <c r="C17" s="49" t="n"/>
      <c r="D17" s="11" t="inlineStr"/>
      <c r="E17" s="49" t="n"/>
      <c r="F17" s="11" t="inlineStr"/>
      <c r="G17" s="35" t="inlineStr"/>
      <c r="H17" s="35" t="inlineStr"/>
      <c r="I17" s="49" t="n"/>
      <c r="J17" s="11" t="inlineStr"/>
      <c r="K17" s="49" t="n"/>
      <c r="L17" s="11" t="inlineStr"/>
    </row>
    <row r="18" ht="18" customHeight="1">
      <c r="A18" s="40" t="inlineStr"/>
      <c r="B18" s="40" t="inlineStr"/>
      <c r="C18" s="49" t="n"/>
      <c r="D18" s="40" t="inlineStr"/>
      <c r="E18" s="49" t="n"/>
      <c r="F18" s="40" t="inlineStr"/>
      <c r="G18" s="35" t="inlineStr"/>
      <c r="H18" s="35" t="inlineStr"/>
      <c r="I18" s="49" t="n"/>
      <c r="J18" s="40" t="inlineStr"/>
      <c r="K18" s="49" t="n"/>
      <c r="L18" s="40" t="inlineStr"/>
    </row>
    <row r="19" ht="18" customHeight="1">
      <c r="A19" s="11" t="inlineStr"/>
      <c r="B19" s="11" t="inlineStr"/>
      <c r="C19" s="49" t="n"/>
      <c r="D19" s="11" t="inlineStr"/>
      <c r="E19" s="49" t="n"/>
      <c r="F19" s="11" t="inlineStr"/>
      <c r="G19" s="35" t="inlineStr"/>
      <c r="H19" s="35" t="inlineStr"/>
      <c r="I19" s="49" t="n"/>
      <c r="J19" s="11" t="inlineStr"/>
      <c r="K19" s="49" t="n"/>
      <c r="L19" s="11" t="inlineStr"/>
    </row>
    <row r="20" ht="18" customHeight="1">
      <c r="A20" s="40" t="inlineStr"/>
      <c r="B20" s="40" t="inlineStr"/>
      <c r="C20" s="49" t="n"/>
      <c r="D20" s="40" t="inlineStr"/>
      <c r="E20" s="49" t="n"/>
      <c r="F20" s="40" t="inlineStr"/>
      <c r="G20" s="35" t="inlineStr"/>
      <c r="H20" s="35" t="inlineStr"/>
      <c r="I20" s="49" t="n"/>
      <c r="J20" s="40" t="inlineStr"/>
      <c r="K20" s="49" t="n"/>
      <c r="L20" s="40" t="inlineStr"/>
    </row>
    <row r="21" ht="18" customHeight="1">
      <c r="A21" s="11" t="inlineStr"/>
      <c r="B21" s="11" t="inlineStr"/>
      <c r="C21" s="49" t="n"/>
      <c r="D21" s="11" t="inlineStr"/>
      <c r="E21" s="49" t="n"/>
      <c r="F21" s="11" t="inlineStr"/>
      <c r="G21" s="35" t="inlineStr"/>
      <c r="H21" s="35" t="inlineStr"/>
      <c r="I21" s="49" t="n"/>
      <c r="J21" s="11" t="inlineStr"/>
      <c r="K21" s="49" t="n"/>
      <c r="L21" s="11" t="inlineStr"/>
    </row>
    <row r="22" ht="18" customHeight="1">
      <c r="A22" s="40" t="inlineStr"/>
      <c r="B22" s="40" t="inlineStr"/>
      <c r="C22" s="49" t="n"/>
      <c r="D22" s="40" t="inlineStr"/>
      <c r="E22" s="49" t="n"/>
      <c r="F22" s="40" t="inlineStr"/>
      <c r="G22" s="35" t="inlineStr"/>
      <c r="H22" s="35" t="inlineStr"/>
      <c r="I22" s="49" t="n"/>
      <c r="J22" s="40" t="inlineStr"/>
      <c r="K22" s="49" t="n"/>
      <c r="L22" s="40" t="inlineStr"/>
    </row>
    <row r="23" ht="18" customHeight="1">
      <c r="A23" s="11" t="inlineStr"/>
      <c r="B23" s="11" t="inlineStr"/>
      <c r="C23" s="49" t="n"/>
      <c r="D23" s="11" t="inlineStr"/>
      <c r="E23" s="49" t="n"/>
      <c r="F23" s="11" t="inlineStr"/>
      <c r="G23" s="35" t="inlineStr"/>
      <c r="H23" s="35" t="inlineStr"/>
      <c r="I23" s="49" t="n"/>
      <c r="J23" s="11" t="inlineStr"/>
      <c r="K23" s="49" t="n"/>
      <c r="L23" s="11" t="inlineStr"/>
    </row>
    <row r="24" ht="18" customHeight="1">
      <c r="A24" s="40" t="inlineStr"/>
      <c r="B24" s="40" t="inlineStr"/>
      <c r="C24" s="49" t="n"/>
      <c r="D24" s="40" t="inlineStr"/>
      <c r="E24" s="49" t="n"/>
      <c r="F24" s="40" t="inlineStr"/>
      <c r="G24" s="35" t="inlineStr"/>
      <c r="H24" s="35" t="inlineStr"/>
      <c r="I24" s="49" t="n"/>
      <c r="J24" s="40" t="inlineStr"/>
      <c r="K24" s="49" t="n"/>
      <c r="L24" s="40" t="inlineStr"/>
    </row>
    <row r="26" ht="20" customHeight="1">
      <c r="A26" s="59" t="inlineStr">
        <is>
          <t>TOTAL VALEUR TRANSFÉRÉE (USD)</t>
        </is>
      </c>
      <c r="K26" s="60" t="inlineStr"/>
      <c r="L26" s="105" t="n"/>
    </row>
    <row r="28" ht="16" customHeight="1">
      <c r="A28" s="19" t="inlineStr">
        <is>
          <t>Comptabilisation (à remplir par les deux comptables)</t>
        </is>
      </c>
    </row>
    <row r="29" ht="20" customHeight="1">
      <c r="A29" s="22" t="inlineStr">
        <is>
          <t>Ecriture comptable site cédant (débit compte inter-sociétés) — Likasi</t>
        </is>
      </c>
      <c r="B29" s="100" t="n"/>
      <c r="C29" s="100" t="n"/>
      <c r="D29" s="49" t="n"/>
      <c r="E29" s="35" t="inlineStr"/>
      <c r="F29" s="100" t="n"/>
      <c r="G29" s="100" t="n"/>
      <c r="H29" s="100" t="n"/>
      <c r="I29" s="100" t="n"/>
      <c r="J29" s="100" t="n"/>
      <c r="K29" s="100" t="n"/>
      <c r="L29" s="49" t="n"/>
    </row>
    <row r="30" ht="20" customHeight="1">
      <c r="A30" s="22" t="inlineStr">
        <is>
          <t>Ecriture comptable site destinataire (crédit compte inter-sociétés) — Kolwezi</t>
        </is>
      </c>
      <c r="B30" s="100" t="n"/>
      <c r="C30" s="100" t="n"/>
      <c r="D30" s="49" t="n"/>
      <c r="E30" s="35" t="inlineStr"/>
      <c r="F30" s="100" t="n"/>
      <c r="G30" s="100" t="n"/>
      <c r="H30" s="100" t="n"/>
      <c r="I30" s="100" t="n"/>
      <c r="J30" s="100" t="n"/>
      <c r="K30" s="100" t="n"/>
      <c r="L30" s="49" t="n"/>
    </row>
    <row r="33" ht="16" customHeight="1">
      <c r="A33" s="39" t="inlineStr">
        <is>
          <t>Responsable PV cédant
(signature expédition)</t>
        </is>
      </c>
      <c r="B33" s="101" t="n"/>
      <c r="C33" s="101" t="n"/>
      <c r="D33" s="102" t="n"/>
      <c r="E33" s="39" t="inlineStr">
        <is>
          <t>Responsable PV destinataire
(signature réception)</t>
        </is>
      </c>
      <c r="F33" s="101" t="n"/>
      <c r="G33" s="101" t="n"/>
      <c r="H33" s="102" t="n"/>
      <c r="I33" s="39" t="inlineStr">
        <is>
          <t>DFI
(visa autorisation)</t>
        </is>
      </c>
      <c r="J33" s="101" t="n"/>
      <c r="K33" s="101" t="n"/>
      <c r="L33" s="102" t="n"/>
    </row>
    <row r="34" ht="48" customHeight="1">
      <c r="A34" s="40" t="inlineStr"/>
      <c r="B34" s="100" t="n"/>
      <c r="C34" s="100" t="n"/>
      <c r="D34" s="49" t="n"/>
      <c r="E34" s="40" t="inlineStr"/>
      <c r="F34" s="100" t="n"/>
      <c r="G34" s="100" t="n"/>
      <c r="H34" s="49" t="n"/>
      <c r="I34" s="40" t="inlineStr"/>
      <c r="J34" s="100" t="n"/>
      <c r="K34" s="100" t="n"/>
      <c r="L34" s="49" t="n"/>
    </row>
    <row r="36" ht="13" customHeight="1">
      <c r="A36" s="41" t="inlineStr">
        <is>
          <t>DOC-KS-01 — Bon de Transfert Inter-Sites — KAKO Sarl — KILIMA Holdings</t>
        </is>
      </c>
    </row>
  </sheetData>
  <mergeCells count="70">
    <mergeCell ref="D20:E20"/>
    <mergeCell ref="E12:L12"/>
    <mergeCell ref="B16:C16"/>
    <mergeCell ref="A8:D8"/>
    <mergeCell ref="H20:I20"/>
    <mergeCell ref="D19:E19"/>
    <mergeCell ref="A29:D29"/>
    <mergeCell ref="J19:K19"/>
    <mergeCell ref="B22:C22"/>
    <mergeCell ref="D22:E22"/>
    <mergeCell ref="B18:C18"/>
    <mergeCell ref="A10:D10"/>
    <mergeCell ref="A3:L3"/>
    <mergeCell ref="A13:D13"/>
    <mergeCell ref="E8:L8"/>
    <mergeCell ref="K26:L26"/>
    <mergeCell ref="D21:E21"/>
    <mergeCell ref="A9:D9"/>
    <mergeCell ref="B21:C21"/>
    <mergeCell ref="H21:I21"/>
    <mergeCell ref="E29:L29"/>
    <mergeCell ref="J24:K24"/>
    <mergeCell ref="A34:D34"/>
    <mergeCell ref="I34:L34"/>
    <mergeCell ref="A30:D30"/>
    <mergeCell ref="B23:C23"/>
    <mergeCell ref="E10:L10"/>
    <mergeCell ref="E13:L13"/>
    <mergeCell ref="A11:D11"/>
    <mergeCell ref="I2:L2"/>
    <mergeCell ref="B17:C17"/>
    <mergeCell ref="D17:E17"/>
    <mergeCell ref="E33:H33"/>
    <mergeCell ref="A4:L4"/>
    <mergeCell ref="H17:I17"/>
    <mergeCell ref="E9:L9"/>
    <mergeCell ref="D16:E16"/>
    <mergeCell ref="J20:K20"/>
    <mergeCell ref="E30:L30"/>
    <mergeCell ref="H16:I16"/>
    <mergeCell ref="J16:K16"/>
    <mergeCell ref="A2:H2"/>
    <mergeCell ref="B19:C19"/>
    <mergeCell ref="A28:L28"/>
    <mergeCell ref="E11:L11"/>
    <mergeCell ref="A7:D7"/>
    <mergeCell ref="H19:I19"/>
    <mergeCell ref="D18:E18"/>
    <mergeCell ref="H22:I22"/>
    <mergeCell ref="J22:K22"/>
    <mergeCell ref="J21:K21"/>
    <mergeCell ref="A15:L15"/>
    <mergeCell ref="B24:C24"/>
    <mergeCell ref="D24:E24"/>
    <mergeCell ref="E7:L7"/>
    <mergeCell ref="A12:D12"/>
    <mergeCell ref="B20:C20"/>
    <mergeCell ref="H24:I24"/>
    <mergeCell ref="H18:I18"/>
    <mergeCell ref="D23:E23"/>
    <mergeCell ref="E34:H34"/>
    <mergeCell ref="J18:K18"/>
    <mergeCell ref="A36:L36"/>
    <mergeCell ref="A6:L6"/>
    <mergeCell ref="H23:I23"/>
    <mergeCell ref="A26:J26"/>
    <mergeCell ref="A33:D33"/>
    <mergeCell ref="J23:K23"/>
    <mergeCell ref="I33:L33"/>
    <mergeCell ref="J17:K17"/>
  </mergeCells>
  <pageMargins left="0.5" right="0.5" top="0.6" bottom="0.6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L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/>
    <row r="2" ht="26" customHeight="1">
      <c r="A2" s="30" t="inlineStr">
        <is>
          <t>KILIMA Holdings</t>
        </is>
      </c>
      <c r="I2" s="31" t="inlineStr">
        <is>
          <t>DOC-ST-01</t>
        </is>
      </c>
    </row>
    <row r="3" ht="18" customHeight="1">
      <c r="A3" s="46" t="inlineStr">
        <is>
          <t>REGISTRE DE STOCK JOURNALIER</t>
        </is>
      </c>
    </row>
    <row r="4" ht="16" customHeight="1">
      <c r="A4" s="47" t="inlineStr">
        <is>
          <t>KAKO Sarl (Likasi &amp; Kolwezi) — Un registre par site par jour</t>
        </is>
      </c>
    </row>
    <row r="5" ht="6" customHeight="1"/>
    <row r="6" ht="16" customHeight="1">
      <c r="A6" s="13" t="inlineStr">
        <is>
          <t>En-tête</t>
        </is>
      </c>
    </row>
    <row r="7" ht="20" customHeight="1">
      <c r="A7" s="36" t="inlineStr">
        <is>
          <t>Date</t>
        </is>
      </c>
      <c r="B7" s="100" t="n"/>
      <c r="C7" s="100" t="n"/>
      <c r="D7" s="49" t="n"/>
      <c r="E7" s="35" t="inlineStr"/>
      <c r="F7" s="100" t="n"/>
      <c r="G7" s="100" t="n"/>
      <c r="H7" s="100" t="n"/>
      <c r="I7" s="100" t="n"/>
      <c r="J7" s="100" t="n"/>
      <c r="K7" s="100" t="n"/>
      <c r="L7" s="49" t="n"/>
    </row>
    <row r="8" ht="20" customHeight="1">
      <c r="A8" s="36" t="inlineStr">
        <is>
          <t>Site (Likasi / Kolwezi)</t>
        </is>
      </c>
      <c r="B8" s="100" t="n"/>
      <c r="C8" s="100" t="n"/>
      <c r="D8" s="49" t="n"/>
      <c r="E8" s="35" t="inlineStr"/>
      <c r="F8" s="100" t="n"/>
      <c r="G8" s="100" t="n"/>
      <c r="H8" s="100" t="n"/>
      <c r="I8" s="100" t="n"/>
      <c r="J8" s="100" t="n"/>
      <c r="K8" s="100" t="n"/>
      <c r="L8" s="49" t="n"/>
    </row>
    <row r="9" ht="20" customHeight="1">
      <c r="A9" s="36" t="inlineStr">
        <is>
          <t>Responsable du registre</t>
        </is>
      </c>
      <c r="B9" s="100" t="n"/>
      <c r="C9" s="100" t="n"/>
      <c r="D9" s="49" t="n"/>
      <c r="E9" s="35" t="inlineStr"/>
      <c r="F9" s="100" t="n"/>
      <c r="G9" s="100" t="n"/>
      <c r="H9" s="100" t="n"/>
      <c r="I9" s="100" t="n"/>
      <c r="J9" s="100" t="n"/>
      <c r="K9" s="100" t="n"/>
      <c r="L9" s="49" t="n"/>
    </row>
    <row r="11" ht="16" customHeight="1">
      <c r="A11" s="13" t="inlineStr">
        <is>
          <t>Mouvements de stock du jour</t>
        </is>
      </c>
    </row>
    <row r="12" ht="28" customHeight="1">
      <c r="A12" s="61" t="inlineStr">
        <is>
          <t>Produit / Référence</t>
        </is>
      </c>
      <c r="B12" s="106" t="n"/>
      <c r="C12" s="61" t="inlineStr">
        <is>
          <t>Stock ouverture</t>
        </is>
      </c>
      <c r="D12" s="61" t="inlineStr">
        <is>
          <t>Entrées (livraisons)</t>
        </is>
      </c>
      <c r="E12" s="61" t="inlineStr">
        <is>
          <t>Réf. BL entrée</t>
        </is>
      </c>
      <c r="F12" s="61" t="inlineStr">
        <is>
          <t>Sorties retail</t>
        </is>
      </c>
      <c r="G12" s="61" t="inlineStr">
        <is>
          <t>Sorties business</t>
        </is>
      </c>
      <c r="H12" s="61" t="inlineStr">
        <is>
          <t>Réf. facture</t>
        </is>
      </c>
      <c r="I12" s="61" t="inlineStr">
        <is>
          <t>Stock clôture théorique</t>
        </is>
      </c>
      <c r="J12" s="61" t="inlineStr">
        <is>
          <t>Unité</t>
        </is>
      </c>
      <c r="K12" s="106" t="n"/>
      <c r="L12" s="61" t="inlineStr">
        <is>
          <t>Obs.</t>
        </is>
      </c>
    </row>
    <row r="13" ht="20" customHeight="1">
      <c r="A13" s="11" t="inlineStr">
        <is>
          <t>Ciment CEM I 42.5</t>
        </is>
      </c>
      <c r="B13" s="49" t="n"/>
      <c r="C13" s="35" t="inlineStr"/>
      <c r="D13" s="11" t="inlineStr"/>
      <c r="E13" s="35" t="inlineStr"/>
      <c r="F13" s="35" t="inlineStr"/>
      <c r="G13" s="11" t="inlineStr"/>
      <c r="H13" s="11" t="inlineStr"/>
      <c r="I13" s="11" t="inlineStr"/>
      <c r="J13" s="11" t="inlineStr"/>
      <c r="K13" s="49" t="n"/>
      <c r="L13" s="11" t="inlineStr"/>
    </row>
    <row r="14" ht="20" customHeight="1">
      <c r="A14" s="17" t="inlineStr">
        <is>
          <t>Ciment CEM II 32.5</t>
        </is>
      </c>
      <c r="B14" s="49" t="n"/>
      <c r="C14" s="35" t="inlineStr"/>
      <c r="D14" s="17" t="inlineStr"/>
      <c r="E14" s="35" t="inlineStr"/>
      <c r="F14" s="35" t="inlineStr"/>
      <c r="G14" s="17" t="inlineStr"/>
      <c r="H14" s="17" t="inlineStr"/>
      <c r="I14" s="17" t="inlineStr"/>
      <c r="J14" s="17" t="inlineStr"/>
      <c r="K14" s="49" t="n"/>
      <c r="L14" s="17" t="inlineStr"/>
    </row>
    <row r="15" ht="20" customHeight="1">
      <c r="A15" s="11" t="inlineStr">
        <is>
          <t>Ciment CEM III</t>
        </is>
      </c>
      <c r="B15" s="49" t="n"/>
      <c r="C15" s="35" t="inlineStr"/>
      <c r="D15" s="11" t="inlineStr"/>
      <c r="E15" s="35" t="inlineStr"/>
      <c r="F15" s="35" t="inlineStr"/>
      <c r="G15" s="11" t="inlineStr"/>
      <c r="H15" s="11" t="inlineStr"/>
      <c r="I15" s="11" t="inlineStr"/>
      <c r="J15" s="11" t="inlineStr"/>
      <c r="K15" s="49" t="n"/>
      <c r="L15" s="11" t="inlineStr"/>
    </row>
    <row r="16" ht="20" customHeight="1">
      <c r="A16" s="17" t="inlineStr">
        <is>
          <t>Quincaillerie — Produit 1</t>
        </is>
      </c>
      <c r="B16" s="49" t="n"/>
      <c r="C16" s="35" t="inlineStr"/>
      <c r="D16" s="17" t="inlineStr"/>
      <c r="E16" s="35" t="inlineStr"/>
      <c r="F16" s="35" t="inlineStr"/>
      <c r="G16" s="17" t="inlineStr"/>
      <c r="H16" s="17" t="inlineStr"/>
      <c r="I16" s="17" t="inlineStr"/>
      <c r="J16" s="17" t="inlineStr"/>
      <c r="K16" s="49" t="n"/>
      <c r="L16" s="17" t="inlineStr"/>
    </row>
    <row r="17" ht="20" customHeight="1">
      <c r="A17" s="11" t="inlineStr">
        <is>
          <t>Quincaillerie — Produit 2</t>
        </is>
      </c>
      <c r="B17" s="49" t="n"/>
      <c r="C17" s="35" t="inlineStr"/>
      <c r="D17" s="11" t="inlineStr"/>
      <c r="E17" s="35" t="inlineStr"/>
      <c r="F17" s="35" t="inlineStr"/>
      <c r="G17" s="11" t="inlineStr"/>
      <c r="H17" s="11" t="inlineStr"/>
      <c r="I17" s="11" t="inlineStr"/>
      <c r="J17" s="11" t="inlineStr"/>
      <c r="K17" s="49" t="n"/>
      <c r="L17" s="11" t="inlineStr"/>
    </row>
    <row r="18" ht="20" customHeight="1">
      <c r="A18" s="17" t="inlineStr">
        <is>
          <t>Quincaillerie — Produit 3</t>
        </is>
      </c>
      <c r="B18" s="49" t="n"/>
      <c r="C18" s="35" t="inlineStr"/>
      <c r="D18" s="17" t="inlineStr"/>
      <c r="E18" s="35" t="inlineStr"/>
      <c r="F18" s="35" t="inlineStr"/>
      <c r="G18" s="17" t="inlineStr"/>
      <c r="H18" s="17" t="inlineStr"/>
      <c r="I18" s="17" t="inlineStr"/>
      <c r="J18" s="17" t="inlineStr"/>
      <c r="K18" s="49" t="n"/>
      <c r="L18" s="17" t="inlineStr"/>
    </row>
    <row r="19" ht="20" customHeight="1">
      <c r="A19" s="11" t="inlineStr">
        <is>
          <t>Quincaillerie — Produit 4</t>
        </is>
      </c>
      <c r="B19" s="49" t="n"/>
      <c r="C19" s="35" t="inlineStr"/>
      <c r="D19" s="11" t="inlineStr"/>
      <c r="E19" s="35" t="inlineStr"/>
      <c r="F19" s="35" t="inlineStr"/>
      <c r="G19" s="11" t="inlineStr"/>
      <c r="H19" s="11" t="inlineStr"/>
      <c r="I19" s="11" t="inlineStr"/>
      <c r="J19" s="11" t="inlineStr"/>
      <c r="K19" s="49" t="n"/>
      <c r="L19" s="11" t="inlineStr"/>
    </row>
    <row r="20" ht="20" customHeight="1">
      <c r="A20" s="17" t="inlineStr">
        <is>
          <t>Quincaillerie — Produit 5</t>
        </is>
      </c>
      <c r="B20" s="49" t="n"/>
      <c r="C20" s="35" t="inlineStr"/>
      <c r="D20" s="17" t="inlineStr"/>
      <c r="E20" s="35" t="inlineStr"/>
      <c r="F20" s="35" t="inlineStr"/>
      <c r="G20" s="17" t="inlineStr"/>
      <c r="H20" s="17" t="inlineStr"/>
      <c r="I20" s="17" t="inlineStr"/>
      <c r="J20" s="17" t="inlineStr"/>
      <c r="K20" s="49" t="n"/>
      <c r="L20" s="17" t="inlineStr"/>
    </row>
    <row r="21" ht="20" customHeight="1">
      <c r="A21" s="11" t="inlineStr">
        <is>
          <t>Autre produit 1</t>
        </is>
      </c>
      <c r="B21" s="49" t="n"/>
      <c r="C21" s="35" t="inlineStr"/>
      <c r="D21" s="11" t="inlineStr"/>
      <c r="E21" s="35" t="inlineStr"/>
      <c r="F21" s="35" t="inlineStr"/>
      <c r="G21" s="11" t="inlineStr"/>
      <c r="H21" s="11" t="inlineStr"/>
      <c r="I21" s="11" t="inlineStr"/>
      <c r="J21" s="11" t="inlineStr"/>
      <c r="K21" s="49" t="n"/>
      <c r="L21" s="11" t="inlineStr"/>
    </row>
    <row r="22" ht="20" customHeight="1">
      <c r="A22" s="17" t="inlineStr">
        <is>
          <t>Autre produit 2</t>
        </is>
      </c>
      <c r="B22" s="49" t="n"/>
      <c r="C22" s="35" t="inlineStr"/>
      <c r="D22" s="17" t="inlineStr"/>
      <c r="E22" s="35" t="inlineStr"/>
      <c r="F22" s="35" t="inlineStr"/>
      <c r="G22" s="17" t="inlineStr"/>
      <c r="H22" s="17" t="inlineStr"/>
      <c r="I22" s="17" t="inlineStr"/>
      <c r="J22" s="17" t="inlineStr"/>
      <c r="K22" s="49" t="n"/>
      <c r="L22" s="17" t="inlineStr"/>
    </row>
    <row r="24" ht="16" customHeight="1">
      <c r="A24" s="62" t="inlineStr">
        <is>
          <t>Alerte rupture de stock</t>
        </is>
      </c>
    </row>
    <row r="25" ht="20" customHeight="1">
      <c r="A25" s="63" t="inlineStr">
        <is>
          <t>Produits dont le stock clôture est inférieur au seuil minimal :</t>
        </is>
      </c>
    </row>
    <row r="26" ht="30" customHeight="1">
      <c r="A26" s="64" t="inlineStr"/>
      <c r="B26" s="107" t="n"/>
      <c r="C26" s="107" t="n"/>
      <c r="D26" s="107" t="n"/>
      <c r="E26" s="107" t="n"/>
      <c r="F26" s="107" t="n"/>
      <c r="G26" s="107" t="n"/>
      <c r="H26" s="107" t="n"/>
      <c r="I26" s="107" t="n"/>
      <c r="J26" s="107" t="n"/>
      <c r="K26" s="107" t="n"/>
      <c r="L26" s="108" t="n"/>
    </row>
    <row r="28" ht="16" customHeight="1">
      <c r="A28" s="39" t="inlineStr">
        <is>
          <t>Responsable PV
(signature clôture)</t>
        </is>
      </c>
      <c r="B28" s="101" t="n"/>
      <c r="C28" s="101" t="n"/>
      <c r="D28" s="101" t="n"/>
      <c r="E28" s="101" t="n"/>
      <c r="F28" s="102" t="n"/>
      <c r="G28" s="39" t="inlineStr">
        <is>
          <t>Comptable du site
(visa journalier)</t>
        </is>
      </c>
      <c r="H28" s="101" t="n"/>
      <c r="I28" s="101" t="n"/>
      <c r="J28" s="101" t="n"/>
      <c r="K28" s="101" t="n"/>
      <c r="L28" s="102" t="n"/>
    </row>
    <row r="29" ht="48" customHeight="1">
      <c r="A29" s="40" t="inlineStr"/>
      <c r="B29" s="100" t="n"/>
      <c r="C29" s="100" t="n"/>
      <c r="D29" s="100" t="n"/>
      <c r="E29" s="100" t="n"/>
      <c r="F29" s="49" t="n"/>
      <c r="G29" s="40" t="inlineStr"/>
      <c r="H29" s="100" t="n"/>
      <c r="I29" s="100" t="n"/>
      <c r="J29" s="100" t="n"/>
      <c r="K29" s="100" t="n"/>
      <c r="L29" s="49" t="n"/>
    </row>
    <row r="31" ht="13" customHeight="1">
      <c r="A31" s="41" t="inlineStr">
        <is>
          <t>DOC-ST-01 — Registre de Stock Journalier — KAKO Sarl — KILIMA Holdings</t>
        </is>
      </c>
    </row>
  </sheetData>
  <mergeCells count="42">
    <mergeCell ref="A8:D8"/>
    <mergeCell ref="A15:B15"/>
    <mergeCell ref="A25:L25"/>
    <mergeCell ref="G28:L28"/>
    <mergeCell ref="J14:K14"/>
    <mergeCell ref="J19:K19"/>
    <mergeCell ref="J13:K13"/>
    <mergeCell ref="A3:L3"/>
    <mergeCell ref="E8:L8"/>
    <mergeCell ref="A26:L26"/>
    <mergeCell ref="A9:D9"/>
    <mergeCell ref="A16:B16"/>
    <mergeCell ref="J15:K15"/>
    <mergeCell ref="I2:L2"/>
    <mergeCell ref="A18:B18"/>
    <mergeCell ref="A29:F29"/>
    <mergeCell ref="G29:L29"/>
    <mergeCell ref="A4:L4"/>
    <mergeCell ref="A12:B12"/>
    <mergeCell ref="E9:L9"/>
    <mergeCell ref="A21:B21"/>
    <mergeCell ref="J20:K20"/>
    <mergeCell ref="A28:F28"/>
    <mergeCell ref="J16:K16"/>
    <mergeCell ref="A2:H2"/>
    <mergeCell ref="A31:L31"/>
    <mergeCell ref="A7:D7"/>
    <mergeCell ref="A14:B14"/>
    <mergeCell ref="A17:B17"/>
    <mergeCell ref="J22:K22"/>
    <mergeCell ref="A22:B22"/>
    <mergeCell ref="A24:L24"/>
    <mergeCell ref="A20:B20"/>
    <mergeCell ref="J21:K21"/>
    <mergeCell ref="J12:K12"/>
    <mergeCell ref="E7:L7"/>
    <mergeCell ref="A11:L11"/>
    <mergeCell ref="A19:B19"/>
    <mergeCell ref="J18:K18"/>
    <mergeCell ref="A13:B13"/>
    <mergeCell ref="A6:L6"/>
    <mergeCell ref="J17:K17"/>
  </mergeCells>
  <pageMargins left="0.5" right="0.5" top="0.6" bottom="0.6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L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/>
    <row r="2" ht="26" customHeight="1">
      <c r="A2" s="30" t="inlineStr">
        <is>
          <t>KILIMA Holdings</t>
        </is>
      </c>
      <c r="I2" s="31" t="inlineStr">
        <is>
          <t>DOC-ST-02</t>
        </is>
      </c>
    </row>
    <row r="3" ht="18" customHeight="1">
      <c r="A3" s="65" t="inlineStr">
        <is>
          <t>FICHE D'INVENTAIRE PHYSIQUE HEBDOMADAIRE</t>
        </is>
      </c>
    </row>
    <row r="4" ht="16" customHeight="1">
      <c r="A4" s="66" t="inlineStr">
        <is>
          <t>KAKO Sarl &amp; Guest House Relax — Comptage physique chaque vendredi soir</t>
        </is>
      </c>
    </row>
    <row r="5" ht="6" customHeight="1"/>
    <row r="6" ht="16" customHeight="1">
      <c r="A6" s="19" t="inlineStr">
        <is>
          <t>En-tête</t>
        </is>
      </c>
    </row>
    <row r="7" ht="20" customHeight="1">
      <c r="A7" s="22" t="inlineStr">
        <is>
          <t>Date de l'inventaire (vendredi soir)</t>
        </is>
      </c>
      <c r="B7" s="100" t="n"/>
      <c r="C7" s="100" t="n"/>
      <c r="D7" s="49" t="n"/>
      <c r="E7" s="35" t="inlineStr"/>
      <c r="F7" s="100" t="n"/>
      <c r="G7" s="100" t="n"/>
      <c r="H7" s="100" t="n"/>
      <c r="I7" s="100" t="n"/>
      <c r="J7" s="100" t="n"/>
      <c r="K7" s="100" t="n"/>
      <c r="L7" s="49" t="n"/>
    </row>
    <row r="8" ht="20" customHeight="1">
      <c r="A8" s="22" t="inlineStr">
        <is>
          <t>Entité / Site</t>
        </is>
      </c>
      <c r="B8" s="100" t="n"/>
      <c r="C8" s="100" t="n"/>
      <c r="D8" s="49" t="n"/>
      <c r="E8" s="35" t="inlineStr"/>
      <c r="F8" s="100" t="n"/>
      <c r="G8" s="100" t="n"/>
      <c r="H8" s="100" t="n"/>
      <c r="I8" s="100" t="n"/>
      <c r="J8" s="100" t="n"/>
      <c r="K8" s="100" t="n"/>
      <c r="L8" s="49" t="n"/>
    </row>
    <row r="9" ht="20" customHeight="1">
      <c r="A9" s="22" t="inlineStr">
        <is>
          <t>Responsable du comptage</t>
        </is>
      </c>
      <c r="B9" s="100" t="n"/>
      <c r="C9" s="100" t="n"/>
      <c r="D9" s="49" t="n"/>
      <c r="E9" s="35" t="inlineStr"/>
      <c r="F9" s="100" t="n"/>
      <c r="G9" s="100" t="n"/>
      <c r="H9" s="100" t="n"/>
      <c r="I9" s="100" t="n"/>
      <c r="J9" s="100" t="n"/>
      <c r="K9" s="100" t="n"/>
      <c r="L9" s="49" t="n"/>
    </row>
    <row r="10" ht="20" customHeight="1">
      <c r="A10" s="22" t="inlineStr">
        <is>
          <t>Co-compteur (Responsable IT Kolwezi si Kolwezi)</t>
        </is>
      </c>
      <c r="B10" s="100" t="n"/>
      <c r="C10" s="100" t="n"/>
      <c r="D10" s="49" t="n"/>
      <c r="E10" s="35" t="inlineStr"/>
      <c r="F10" s="100" t="n"/>
      <c r="G10" s="100" t="n"/>
      <c r="H10" s="100" t="n"/>
      <c r="I10" s="100" t="n"/>
      <c r="J10" s="100" t="n"/>
      <c r="K10" s="100" t="n"/>
      <c r="L10" s="49" t="n"/>
    </row>
    <row r="12" ht="16" customHeight="1">
      <c r="A12" s="19" t="inlineStr">
        <is>
          <t>Comptage physique par article</t>
        </is>
      </c>
    </row>
    <row r="13" ht="24" customHeight="1">
      <c r="A13" s="39" t="inlineStr">
        <is>
          <t>Article / Référence</t>
        </is>
      </c>
      <c r="B13" s="102" t="n"/>
      <c r="C13" s="39" t="inlineStr">
        <is>
          <t>Unité</t>
        </is>
      </c>
      <c r="D13" s="39" t="inlineStr">
        <is>
          <t>Stock théorique
(registre)</t>
        </is>
      </c>
      <c r="E13" s="39" t="inlineStr">
        <is>
          <t>Quantité comptée
(physique)</t>
        </is>
      </c>
      <c r="F13" s="102" t="n"/>
      <c r="G13" s="39" t="inlineStr">
        <is>
          <t>Écart
(Physique - Théorique)</t>
        </is>
      </c>
      <c r="H13" s="39" t="inlineStr">
        <is>
          <t>Valeur unitaire
(USD)</t>
        </is>
      </c>
      <c r="I13" s="39" t="inlineStr">
        <is>
          <t>Valeur écart
(USD)</t>
        </is>
      </c>
      <c r="J13" s="39" t="inlineStr">
        <is>
          <t>Cause probable écart</t>
        </is>
      </c>
      <c r="K13" s="101" t="n"/>
      <c r="L13" s="102" t="n"/>
    </row>
    <row r="14" ht="20" customHeight="1">
      <c r="A14" s="11" t="inlineStr"/>
      <c r="B14" s="49" t="n"/>
      <c r="C14" s="35" t="inlineStr"/>
      <c r="D14" s="35" t="inlineStr"/>
      <c r="E14" s="11" t="inlineStr"/>
      <c r="F14" s="49" t="n"/>
      <c r="G14" s="67">
        <f>IF(AND(E14&lt;&gt;"",D14&lt;&gt;""),E14-D14,"")</f>
        <v/>
      </c>
      <c r="H14" s="11" t="inlineStr"/>
      <c r="I14" s="67">
        <f>IF(AND(G14&lt;&gt;"",H14&lt;&gt;""),G14*H14,"")</f>
        <v/>
      </c>
      <c r="J14" s="11" t="inlineStr"/>
      <c r="K14" s="100" t="n"/>
      <c r="L14" s="49" t="n"/>
    </row>
    <row r="15" ht="20" customHeight="1">
      <c r="A15" s="23" t="inlineStr"/>
      <c r="B15" s="49" t="n"/>
      <c r="C15" s="35" t="inlineStr"/>
      <c r="D15" s="35" t="inlineStr"/>
      <c r="E15" s="23" t="inlineStr"/>
      <c r="F15" s="49" t="n"/>
      <c r="G15" s="68">
        <f>IF(AND(E15&lt;&gt;"",D15&lt;&gt;""),E15-D15,"")</f>
        <v/>
      </c>
      <c r="H15" s="23" t="inlineStr"/>
      <c r="I15" s="68">
        <f>IF(AND(G15&lt;&gt;"",H15&lt;&gt;""),G15*H15,"")</f>
        <v/>
      </c>
      <c r="J15" s="23" t="inlineStr"/>
      <c r="K15" s="100" t="n"/>
      <c r="L15" s="49" t="n"/>
    </row>
    <row r="16" ht="20" customHeight="1">
      <c r="A16" s="11" t="inlineStr"/>
      <c r="B16" s="49" t="n"/>
      <c r="C16" s="35" t="inlineStr"/>
      <c r="D16" s="35" t="inlineStr"/>
      <c r="E16" s="11" t="inlineStr"/>
      <c r="F16" s="49" t="n"/>
      <c r="G16" s="67">
        <f>IF(AND(E16&lt;&gt;"",D16&lt;&gt;""),E16-D16,"")</f>
        <v/>
      </c>
      <c r="H16" s="11" t="inlineStr"/>
      <c r="I16" s="67">
        <f>IF(AND(G16&lt;&gt;"",H16&lt;&gt;""),G16*H16,"")</f>
        <v/>
      </c>
      <c r="J16" s="11" t="inlineStr"/>
      <c r="K16" s="100" t="n"/>
      <c r="L16" s="49" t="n"/>
    </row>
    <row r="17" ht="20" customHeight="1">
      <c r="A17" s="23" t="inlineStr"/>
      <c r="B17" s="49" t="n"/>
      <c r="C17" s="35" t="inlineStr"/>
      <c r="D17" s="35" t="inlineStr"/>
      <c r="E17" s="23" t="inlineStr"/>
      <c r="F17" s="49" t="n"/>
      <c r="G17" s="68">
        <f>IF(AND(E17&lt;&gt;"",D17&lt;&gt;""),E17-D17,"")</f>
        <v/>
      </c>
      <c r="H17" s="23" t="inlineStr"/>
      <c r="I17" s="68">
        <f>IF(AND(G17&lt;&gt;"",H17&lt;&gt;""),G17*H17,"")</f>
        <v/>
      </c>
      <c r="J17" s="23" t="inlineStr"/>
      <c r="K17" s="100" t="n"/>
      <c r="L17" s="49" t="n"/>
    </row>
    <row r="18" ht="20" customHeight="1">
      <c r="A18" s="11" t="inlineStr"/>
      <c r="B18" s="49" t="n"/>
      <c r="C18" s="35" t="inlineStr"/>
      <c r="D18" s="35" t="inlineStr"/>
      <c r="E18" s="11" t="inlineStr"/>
      <c r="F18" s="49" t="n"/>
      <c r="G18" s="67">
        <f>IF(AND(E18&lt;&gt;"",D18&lt;&gt;""),E18-D18,"")</f>
        <v/>
      </c>
      <c r="H18" s="11" t="inlineStr"/>
      <c r="I18" s="67">
        <f>IF(AND(G18&lt;&gt;"",H18&lt;&gt;""),G18*H18,"")</f>
        <v/>
      </c>
      <c r="J18" s="11" t="inlineStr"/>
      <c r="K18" s="100" t="n"/>
      <c r="L18" s="49" t="n"/>
    </row>
    <row r="19" ht="20" customHeight="1">
      <c r="A19" s="23" t="inlineStr"/>
      <c r="B19" s="49" t="n"/>
      <c r="C19" s="35" t="inlineStr"/>
      <c r="D19" s="35" t="inlineStr"/>
      <c r="E19" s="23" t="inlineStr"/>
      <c r="F19" s="49" t="n"/>
      <c r="G19" s="68">
        <f>IF(AND(E19&lt;&gt;"",D19&lt;&gt;""),E19-D19,"")</f>
        <v/>
      </c>
      <c r="H19" s="23" t="inlineStr"/>
      <c r="I19" s="68">
        <f>IF(AND(G19&lt;&gt;"",H19&lt;&gt;""),G19*H19,"")</f>
        <v/>
      </c>
      <c r="J19" s="23" t="inlineStr"/>
      <c r="K19" s="100" t="n"/>
      <c r="L19" s="49" t="n"/>
    </row>
    <row r="20" ht="20" customHeight="1">
      <c r="A20" s="11" t="inlineStr"/>
      <c r="B20" s="49" t="n"/>
      <c r="C20" s="35" t="inlineStr"/>
      <c r="D20" s="35" t="inlineStr"/>
      <c r="E20" s="11" t="inlineStr"/>
      <c r="F20" s="49" t="n"/>
      <c r="G20" s="67">
        <f>IF(AND(E20&lt;&gt;"",D20&lt;&gt;""),E20-D20,"")</f>
        <v/>
      </c>
      <c r="H20" s="11" t="inlineStr"/>
      <c r="I20" s="67">
        <f>IF(AND(G20&lt;&gt;"",H20&lt;&gt;""),G20*H20,"")</f>
        <v/>
      </c>
      <c r="J20" s="11" t="inlineStr"/>
      <c r="K20" s="100" t="n"/>
      <c r="L20" s="49" t="n"/>
    </row>
    <row r="21" ht="20" customHeight="1">
      <c r="A21" s="23" t="inlineStr"/>
      <c r="B21" s="49" t="n"/>
      <c r="C21" s="35" t="inlineStr"/>
      <c r="D21" s="35" t="inlineStr"/>
      <c r="E21" s="23" t="inlineStr"/>
      <c r="F21" s="49" t="n"/>
      <c r="G21" s="68">
        <f>IF(AND(E21&lt;&gt;"",D21&lt;&gt;""),E21-D21,"")</f>
        <v/>
      </c>
      <c r="H21" s="23" t="inlineStr"/>
      <c r="I21" s="68">
        <f>IF(AND(G21&lt;&gt;"",H21&lt;&gt;""),G21*H21,"")</f>
        <v/>
      </c>
      <c r="J21" s="23" t="inlineStr"/>
      <c r="K21" s="100" t="n"/>
      <c r="L21" s="49" t="n"/>
    </row>
    <row r="22" ht="20" customHeight="1">
      <c r="A22" s="11" t="inlineStr"/>
      <c r="B22" s="49" t="n"/>
      <c r="C22" s="35" t="inlineStr"/>
      <c r="D22" s="35" t="inlineStr"/>
      <c r="E22" s="11" t="inlineStr"/>
      <c r="F22" s="49" t="n"/>
      <c r="G22" s="67">
        <f>IF(AND(E22&lt;&gt;"",D22&lt;&gt;""),E22-D22,"")</f>
        <v/>
      </c>
      <c r="H22" s="11" t="inlineStr"/>
      <c r="I22" s="67">
        <f>IF(AND(G22&lt;&gt;"",H22&lt;&gt;""),G22*H22,"")</f>
        <v/>
      </c>
      <c r="J22" s="11" t="inlineStr"/>
      <c r="K22" s="100" t="n"/>
      <c r="L22" s="49" t="n"/>
    </row>
    <row r="23" ht="20" customHeight="1">
      <c r="A23" s="23" t="inlineStr"/>
      <c r="B23" s="49" t="n"/>
      <c r="C23" s="35" t="inlineStr"/>
      <c r="D23" s="35" t="inlineStr"/>
      <c r="E23" s="23" t="inlineStr"/>
      <c r="F23" s="49" t="n"/>
      <c r="G23" s="68">
        <f>IF(AND(E23&lt;&gt;"",D23&lt;&gt;""),E23-D23,"")</f>
        <v/>
      </c>
      <c r="H23" s="23" t="inlineStr"/>
      <c r="I23" s="68">
        <f>IF(AND(G23&lt;&gt;"",H23&lt;&gt;""),G23*H23,"")</f>
        <v/>
      </c>
      <c r="J23" s="23" t="inlineStr"/>
      <c r="K23" s="100" t="n"/>
      <c r="L23" s="49" t="n"/>
    </row>
    <row r="24" ht="20" customHeight="1">
      <c r="A24" s="11" t="inlineStr"/>
      <c r="B24" s="49" t="n"/>
      <c r="C24" s="35" t="inlineStr"/>
      <c r="D24" s="35" t="inlineStr"/>
      <c r="E24" s="11" t="inlineStr"/>
      <c r="F24" s="49" t="n"/>
      <c r="G24" s="67">
        <f>IF(AND(E24&lt;&gt;"",D24&lt;&gt;""),E24-D24,"")</f>
        <v/>
      </c>
      <c r="H24" s="11" t="inlineStr"/>
      <c r="I24" s="67">
        <f>IF(AND(G24&lt;&gt;"",H24&lt;&gt;""),G24*H24,"")</f>
        <v/>
      </c>
      <c r="J24" s="11" t="inlineStr"/>
      <c r="K24" s="100" t="n"/>
      <c r="L24" s="49" t="n"/>
    </row>
    <row r="25" ht="20" customHeight="1">
      <c r="A25" s="23" t="inlineStr"/>
      <c r="B25" s="49" t="n"/>
      <c r="C25" s="35" t="inlineStr"/>
      <c r="D25" s="35" t="inlineStr"/>
      <c r="E25" s="23" t="inlineStr"/>
      <c r="F25" s="49" t="n"/>
      <c r="G25" s="68">
        <f>IF(AND(E25&lt;&gt;"",D25&lt;&gt;""),E25-D25,"")</f>
        <v/>
      </c>
      <c r="H25" s="23" t="inlineStr"/>
      <c r="I25" s="68">
        <f>IF(AND(G25&lt;&gt;"",H25&lt;&gt;""),G25*H25,"")</f>
        <v/>
      </c>
      <c r="J25" s="23" t="inlineStr"/>
      <c r="K25" s="100" t="n"/>
      <c r="L25" s="49" t="n"/>
    </row>
    <row r="26" ht="20" customHeight="1">
      <c r="A26" s="11" t="inlineStr"/>
      <c r="B26" s="49" t="n"/>
      <c r="C26" s="35" t="inlineStr"/>
      <c r="D26" s="35" t="inlineStr"/>
      <c r="E26" s="11" t="inlineStr"/>
      <c r="F26" s="49" t="n"/>
      <c r="G26" s="67">
        <f>IF(AND(E26&lt;&gt;"",D26&lt;&gt;""),E26-D26,"")</f>
        <v/>
      </c>
      <c r="H26" s="11" t="inlineStr"/>
      <c r="I26" s="67">
        <f>IF(AND(G26&lt;&gt;"",H26&lt;&gt;""),G26*H26,"")</f>
        <v/>
      </c>
      <c r="J26" s="11" t="inlineStr"/>
      <c r="K26" s="100" t="n"/>
      <c r="L26" s="49" t="n"/>
    </row>
    <row r="27" ht="20" customHeight="1">
      <c r="A27" s="23" t="inlineStr"/>
      <c r="B27" s="49" t="n"/>
      <c r="C27" s="35" t="inlineStr"/>
      <c r="D27" s="35" t="inlineStr"/>
      <c r="E27" s="23" t="inlineStr"/>
      <c r="F27" s="49" t="n"/>
      <c r="G27" s="68">
        <f>IF(AND(E27&lt;&gt;"",D27&lt;&gt;""),E27-D27,"")</f>
        <v/>
      </c>
      <c r="H27" s="23" t="inlineStr"/>
      <c r="I27" s="68">
        <f>IF(AND(G27&lt;&gt;"",H27&lt;&gt;""),G27*H27,"")</f>
        <v/>
      </c>
      <c r="J27" s="23" t="inlineStr"/>
      <c r="K27" s="100" t="n"/>
      <c r="L27" s="49" t="n"/>
    </row>
    <row r="28" ht="20" customHeight="1">
      <c r="A28" s="11" t="inlineStr"/>
      <c r="B28" s="49" t="n"/>
      <c r="C28" s="35" t="inlineStr"/>
      <c r="D28" s="35" t="inlineStr"/>
      <c r="E28" s="11" t="inlineStr"/>
      <c r="F28" s="49" t="n"/>
      <c r="G28" s="67">
        <f>IF(AND(E28&lt;&gt;"",D28&lt;&gt;""),E28-D28,"")</f>
        <v/>
      </c>
      <c r="H28" s="11" t="inlineStr"/>
      <c r="I28" s="67">
        <f>IF(AND(G28&lt;&gt;"",H28&lt;&gt;""),G28*H28,"")</f>
        <v/>
      </c>
      <c r="J28" s="11" t="inlineStr"/>
      <c r="K28" s="100" t="n"/>
      <c r="L28" s="49" t="n"/>
    </row>
    <row r="30" ht="20" customHeight="1">
      <c r="A30" s="69" t="inlineStr">
        <is>
          <t>TOTAL VALEUR DES ÉCARTS (USD)</t>
        </is>
      </c>
      <c r="I30" s="70">
        <f>SUM(I14:I29)</f>
        <v/>
      </c>
      <c r="J30" s="101" t="n"/>
      <c r="K30" s="102" t="n"/>
      <c r="L30" s="71" t="inlineStr">
        <is>
          <t>USD</t>
        </is>
      </c>
    </row>
    <row r="32" ht="16" customHeight="1">
      <c r="A32" s="62" t="inlineStr">
        <is>
          <t>Rapport d'écart (si écart &gt; seuil)</t>
        </is>
      </c>
    </row>
    <row r="33" ht="60" customHeight="1">
      <c r="A33" s="64" t="inlineStr"/>
      <c r="B33" s="107" t="n"/>
      <c r="C33" s="107" t="n"/>
      <c r="D33" s="107" t="n"/>
      <c r="E33" s="107" t="n"/>
      <c r="F33" s="107" t="n"/>
      <c r="G33" s="107" t="n"/>
      <c r="H33" s="107" t="n"/>
      <c r="I33" s="107" t="n"/>
      <c r="J33" s="107" t="n"/>
      <c r="K33" s="107" t="n"/>
      <c r="L33" s="108" t="n"/>
    </row>
    <row r="35" ht="16" customHeight="1">
      <c r="A35" s="39" t="inlineStr">
        <is>
          <t>Responsable PV / Intendant
(signature)</t>
        </is>
      </c>
      <c r="B35" s="101" t="n"/>
      <c r="C35" s="101" t="n"/>
      <c r="D35" s="102" t="n"/>
      <c r="E35" s="39" t="inlineStr">
        <is>
          <t>Comptable du site
(visa)</t>
        </is>
      </c>
      <c r="F35" s="101" t="n"/>
      <c r="G35" s="101" t="n"/>
      <c r="H35" s="102" t="n"/>
      <c r="I35" s="39" t="inlineStr">
        <is>
          <t>DFI
(visa si écart significatif)</t>
        </is>
      </c>
      <c r="J35" s="101" t="n"/>
      <c r="K35" s="101" t="n"/>
      <c r="L35" s="102" t="n"/>
    </row>
    <row r="36" ht="48" customHeight="1">
      <c r="A36" s="40" t="inlineStr"/>
      <c r="B36" s="100" t="n"/>
      <c r="C36" s="100" t="n"/>
      <c r="D36" s="49" t="n"/>
      <c r="E36" s="40" t="inlineStr"/>
      <c r="F36" s="100" t="n"/>
      <c r="G36" s="100" t="n"/>
      <c r="H36" s="49" t="n"/>
      <c r="I36" s="40" t="inlineStr"/>
      <c r="J36" s="100" t="n"/>
      <c r="K36" s="100" t="n"/>
      <c r="L36" s="49" t="n"/>
    </row>
    <row r="38" ht="13" customHeight="1">
      <c r="A38" s="41" t="inlineStr">
        <is>
          <t>DOC-ST-02 — Fiche d'Inventaire Physique Hebdo — KAKO Sarl / GHR — KILIMA Holdings</t>
        </is>
      </c>
    </row>
  </sheetData>
  <mergeCells count="73">
    <mergeCell ref="A24:B24"/>
    <mergeCell ref="J24:L24"/>
    <mergeCell ref="A8:D8"/>
    <mergeCell ref="A15:B15"/>
    <mergeCell ref="A30:H30"/>
    <mergeCell ref="E24:F24"/>
    <mergeCell ref="A35:D35"/>
    <mergeCell ref="J27:L27"/>
    <mergeCell ref="I35:L35"/>
    <mergeCell ref="E36:H36"/>
    <mergeCell ref="E23:F23"/>
    <mergeCell ref="E14:F14"/>
    <mergeCell ref="J20:L20"/>
    <mergeCell ref="J26:L26"/>
    <mergeCell ref="A3:L3"/>
    <mergeCell ref="A10:D10"/>
    <mergeCell ref="E17:F17"/>
    <mergeCell ref="A12:L12"/>
    <mergeCell ref="E8:L8"/>
    <mergeCell ref="J25:L25"/>
    <mergeCell ref="A9:D9"/>
    <mergeCell ref="A16:B16"/>
    <mergeCell ref="J16:L16"/>
    <mergeCell ref="E20:F20"/>
    <mergeCell ref="A25:B25"/>
    <mergeCell ref="A33:L33"/>
    <mergeCell ref="J22:L22"/>
    <mergeCell ref="E19:F19"/>
    <mergeCell ref="A32:L32"/>
    <mergeCell ref="E10:L10"/>
    <mergeCell ref="E28:F28"/>
    <mergeCell ref="E13:F13"/>
    <mergeCell ref="I2:L2"/>
    <mergeCell ref="A18:B18"/>
    <mergeCell ref="A27:B27"/>
    <mergeCell ref="J21:L21"/>
    <mergeCell ref="A36:D36"/>
    <mergeCell ref="A4:L4"/>
    <mergeCell ref="I36:L36"/>
    <mergeCell ref="E9:L9"/>
    <mergeCell ref="A21:B21"/>
    <mergeCell ref="A26:B26"/>
    <mergeCell ref="A38:L38"/>
    <mergeCell ref="E15:F15"/>
    <mergeCell ref="J18:L18"/>
    <mergeCell ref="A2:H2"/>
    <mergeCell ref="E35:H35"/>
    <mergeCell ref="J23:L23"/>
    <mergeCell ref="E27:F27"/>
    <mergeCell ref="A7:D7"/>
    <mergeCell ref="A14:B14"/>
    <mergeCell ref="A17:B17"/>
    <mergeCell ref="J17:L17"/>
    <mergeCell ref="A23:B23"/>
    <mergeCell ref="E26:F26"/>
    <mergeCell ref="I30:K30"/>
    <mergeCell ref="A22:B22"/>
    <mergeCell ref="A20:B20"/>
    <mergeCell ref="J14:L14"/>
    <mergeCell ref="E16:F16"/>
    <mergeCell ref="J28:L28"/>
    <mergeCell ref="E7:L7"/>
    <mergeCell ref="J13:L13"/>
    <mergeCell ref="A19:B19"/>
    <mergeCell ref="J19:L19"/>
    <mergeCell ref="E25:F25"/>
    <mergeCell ref="A28:B28"/>
    <mergeCell ref="A13:B13"/>
    <mergeCell ref="A6:L6"/>
    <mergeCell ref="E22:F22"/>
    <mergeCell ref="E18:F18"/>
    <mergeCell ref="E21:F21"/>
    <mergeCell ref="J15:L15"/>
  </mergeCells>
  <pageMargins left="0.5" right="0.5" top="0.6" bottom="0.6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L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/>
    <row r="2" ht="26" customHeight="1">
      <c r="A2" s="30" t="inlineStr">
        <is>
          <t>KILIMA Holdings</t>
        </is>
      </c>
      <c r="I2" s="31" t="inlineStr">
        <is>
          <t>DOC-ST-03</t>
        </is>
      </c>
    </row>
    <row r="3" ht="18" customHeight="1">
      <c r="A3" s="32" t="inlineStr">
        <is>
          <t>TABLEAU DE RÉCONCILIATION STOCK / VENTES</t>
        </is>
      </c>
    </row>
    <row r="4" ht="16" customHeight="1">
      <c r="A4" s="33" t="inlineStr">
        <is>
          <t>KAKO Sarl &amp; Guest House Relax — Réconciliation hebdomadaire (chaque lundi)</t>
        </is>
      </c>
    </row>
    <row r="5" ht="6" customHeight="1"/>
    <row r="6" ht="16" customHeight="1">
      <c r="A6" s="5" t="inlineStr">
        <is>
          <t>En-tête</t>
        </is>
      </c>
    </row>
    <row r="7" ht="20" customHeight="1">
      <c r="A7" s="34" t="inlineStr">
        <is>
          <t>Semaine du … au …</t>
        </is>
      </c>
      <c r="B7" s="100" t="n"/>
      <c r="C7" s="100" t="n"/>
      <c r="D7" s="49" t="n"/>
      <c r="E7" s="35" t="inlineStr"/>
      <c r="F7" s="100" t="n"/>
      <c r="G7" s="100" t="n"/>
      <c r="H7" s="100" t="n"/>
      <c r="I7" s="100" t="n"/>
      <c r="J7" s="100" t="n"/>
      <c r="K7" s="100" t="n"/>
      <c r="L7" s="49" t="n"/>
    </row>
    <row r="8" ht="20" customHeight="1">
      <c r="A8" s="34" t="inlineStr">
        <is>
          <t>Entité / Site</t>
        </is>
      </c>
      <c r="B8" s="100" t="n"/>
      <c r="C8" s="100" t="n"/>
      <c r="D8" s="49" t="n"/>
      <c r="E8" s="35" t="inlineStr"/>
      <c r="F8" s="100" t="n"/>
      <c r="G8" s="100" t="n"/>
      <c r="H8" s="100" t="n"/>
      <c r="I8" s="100" t="n"/>
      <c r="J8" s="100" t="n"/>
      <c r="K8" s="100" t="n"/>
      <c r="L8" s="49" t="n"/>
    </row>
    <row r="9" ht="20" customHeight="1">
      <c r="A9" s="34" t="inlineStr">
        <is>
          <t>Comptable responsable</t>
        </is>
      </c>
      <c r="B9" s="100" t="n"/>
      <c r="C9" s="100" t="n"/>
      <c r="D9" s="49" t="n"/>
      <c r="E9" s="35" t="inlineStr"/>
      <c r="F9" s="100" t="n"/>
      <c r="G9" s="100" t="n"/>
      <c r="H9" s="100" t="n"/>
      <c r="I9" s="100" t="n"/>
      <c r="J9" s="100" t="n"/>
      <c r="K9" s="100" t="n"/>
      <c r="L9" s="49" t="n"/>
    </row>
    <row r="11" ht="16" customHeight="1">
      <c r="A11" s="5" t="inlineStr">
        <is>
          <t>Réconciliation par article</t>
        </is>
      </c>
    </row>
    <row r="12" ht="28" customHeight="1">
      <c r="A12" s="43" t="inlineStr">
        <is>
          <t>Article</t>
        </is>
      </c>
      <c r="B12" s="104" t="n"/>
      <c r="C12" s="43" t="inlineStr">
        <is>
          <t>Stock début
semaine</t>
        </is>
      </c>
      <c r="D12" s="43" t="inlineStr">
        <is>
          <t>Entrées
semaine</t>
        </is>
      </c>
      <c r="E12" s="43" t="inlineStr">
        <is>
          <t>Sorties
enregistrées</t>
        </is>
      </c>
      <c r="F12" s="43" t="inlineStr">
        <is>
          <t>Stock fin
théorique</t>
        </is>
      </c>
      <c r="G12" s="43" t="inlineStr">
        <is>
          <t>Stock fin
physique</t>
        </is>
      </c>
      <c r="H12" s="43" t="inlineStr">
        <is>
          <t>ÉCART</t>
        </is>
      </c>
      <c r="I12" s="43" t="inlineStr">
        <is>
          <t>Écart %</t>
        </is>
      </c>
      <c r="J12" s="43" t="inlineStr">
        <is>
          <t>Explication</t>
        </is>
      </c>
      <c r="K12" s="103" t="n"/>
      <c r="L12" s="104" t="n"/>
    </row>
    <row r="13" ht="20" customHeight="1">
      <c r="A13" s="11" t="inlineStr"/>
      <c r="B13" s="49" t="n"/>
      <c r="C13" s="35" t="inlineStr"/>
      <c r="D13" s="35" t="inlineStr"/>
      <c r="E13" s="35" t="inlineStr"/>
      <c r="F13" s="11">
        <f>IF(AND(C13&lt;&gt;"",D13&lt;&gt;"",E13&lt;&gt;""),C13+D13-E13,"")</f>
        <v/>
      </c>
      <c r="G13" s="35" t="inlineStr"/>
      <c r="H13" s="72">
        <f>IF(AND(G13&lt;&gt;"",F13&lt;&gt;""),G13-F13,"")</f>
        <v/>
      </c>
      <c r="I13" s="73">
        <f>IF(AND(F13&lt;&gt;"",F13&lt;&gt;0),H13/F13,"")</f>
        <v/>
      </c>
      <c r="J13" s="11" t="inlineStr"/>
      <c r="K13" s="100" t="n"/>
      <c r="L13" s="49" t="n"/>
    </row>
    <row r="14" ht="20" customHeight="1">
      <c r="A14" s="8" t="inlineStr"/>
      <c r="B14" s="49" t="n"/>
      <c r="C14" s="35" t="inlineStr"/>
      <c r="D14" s="35" t="inlineStr"/>
      <c r="E14" s="35" t="inlineStr"/>
      <c r="F14" s="8">
        <f>IF(AND(C14&lt;&gt;"",D14&lt;&gt;"",E14&lt;&gt;""),C14+D14-E14,"")</f>
        <v/>
      </c>
      <c r="G14" s="35" t="inlineStr"/>
      <c r="H14" s="72">
        <f>IF(AND(G14&lt;&gt;"",F14&lt;&gt;""),G14-F14,"")</f>
        <v/>
      </c>
      <c r="I14" s="74">
        <f>IF(AND(F14&lt;&gt;"",F14&lt;&gt;0),H14/F14,"")</f>
        <v/>
      </c>
      <c r="J14" s="8" t="inlineStr"/>
      <c r="K14" s="100" t="n"/>
      <c r="L14" s="49" t="n"/>
    </row>
    <row r="15" ht="20" customHeight="1">
      <c r="A15" s="11" t="inlineStr"/>
      <c r="B15" s="49" t="n"/>
      <c r="C15" s="35" t="inlineStr"/>
      <c r="D15" s="35" t="inlineStr"/>
      <c r="E15" s="35" t="inlineStr"/>
      <c r="F15" s="11">
        <f>IF(AND(C15&lt;&gt;"",D15&lt;&gt;"",E15&lt;&gt;""),C15+D15-E15,"")</f>
        <v/>
      </c>
      <c r="G15" s="35" t="inlineStr"/>
      <c r="H15" s="72">
        <f>IF(AND(G15&lt;&gt;"",F15&lt;&gt;""),G15-F15,"")</f>
        <v/>
      </c>
      <c r="I15" s="73">
        <f>IF(AND(F15&lt;&gt;"",F15&lt;&gt;0),H15/F15,"")</f>
        <v/>
      </c>
      <c r="J15" s="11" t="inlineStr"/>
      <c r="K15" s="100" t="n"/>
      <c r="L15" s="49" t="n"/>
    </row>
    <row r="16" ht="20" customHeight="1">
      <c r="A16" s="8" t="inlineStr"/>
      <c r="B16" s="49" t="n"/>
      <c r="C16" s="35" t="inlineStr"/>
      <c r="D16" s="35" t="inlineStr"/>
      <c r="E16" s="35" t="inlineStr"/>
      <c r="F16" s="8">
        <f>IF(AND(C16&lt;&gt;"",D16&lt;&gt;"",E16&lt;&gt;""),C16+D16-E16,"")</f>
        <v/>
      </c>
      <c r="G16" s="35" t="inlineStr"/>
      <c r="H16" s="72">
        <f>IF(AND(G16&lt;&gt;"",F16&lt;&gt;""),G16-F16,"")</f>
        <v/>
      </c>
      <c r="I16" s="74">
        <f>IF(AND(F16&lt;&gt;"",F16&lt;&gt;0),H16/F16,"")</f>
        <v/>
      </c>
      <c r="J16" s="8" t="inlineStr"/>
      <c r="K16" s="100" t="n"/>
      <c r="L16" s="49" t="n"/>
    </row>
    <row r="17" ht="20" customHeight="1">
      <c r="A17" s="11" t="inlineStr"/>
      <c r="B17" s="49" t="n"/>
      <c r="C17" s="35" t="inlineStr"/>
      <c r="D17" s="35" t="inlineStr"/>
      <c r="E17" s="35" t="inlineStr"/>
      <c r="F17" s="11">
        <f>IF(AND(C17&lt;&gt;"",D17&lt;&gt;"",E17&lt;&gt;""),C17+D17-E17,"")</f>
        <v/>
      </c>
      <c r="G17" s="35" t="inlineStr"/>
      <c r="H17" s="72">
        <f>IF(AND(G17&lt;&gt;"",F17&lt;&gt;""),G17-F17,"")</f>
        <v/>
      </c>
      <c r="I17" s="73">
        <f>IF(AND(F17&lt;&gt;"",F17&lt;&gt;0),H17/F17,"")</f>
        <v/>
      </c>
      <c r="J17" s="11" t="inlineStr"/>
      <c r="K17" s="100" t="n"/>
      <c r="L17" s="49" t="n"/>
    </row>
    <row r="18" ht="20" customHeight="1">
      <c r="A18" s="8" t="inlineStr"/>
      <c r="B18" s="49" t="n"/>
      <c r="C18" s="35" t="inlineStr"/>
      <c r="D18" s="35" t="inlineStr"/>
      <c r="E18" s="35" t="inlineStr"/>
      <c r="F18" s="8">
        <f>IF(AND(C18&lt;&gt;"",D18&lt;&gt;"",E18&lt;&gt;""),C18+D18-E18,"")</f>
        <v/>
      </c>
      <c r="G18" s="35" t="inlineStr"/>
      <c r="H18" s="72">
        <f>IF(AND(G18&lt;&gt;"",F18&lt;&gt;""),G18-F18,"")</f>
        <v/>
      </c>
      <c r="I18" s="74">
        <f>IF(AND(F18&lt;&gt;"",F18&lt;&gt;0),H18/F18,"")</f>
        <v/>
      </c>
      <c r="J18" s="8" t="inlineStr"/>
      <c r="K18" s="100" t="n"/>
      <c r="L18" s="49" t="n"/>
    </row>
    <row r="19" ht="20" customHeight="1">
      <c r="A19" s="11" t="inlineStr"/>
      <c r="B19" s="49" t="n"/>
      <c r="C19" s="35" t="inlineStr"/>
      <c r="D19" s="35" t="inlineStr"/>
      <c r="E19" s="35" t="inlineStr"/>
      <c r="F19" s="11">
        <f>IF(AND(C19&lt;&gt;"",D19&lt;&gt;"",E19&lt;&gt;""),C19+D19-E19,"")</f>
        <v/>
      </c>
      <c r="G19" s="35" t="inlineStr"/>
      <c r="H19" s="72">
        <f>IF(AND(G19&lt;&gt;"",F19&lt;&gt;""),G19-F19,"")</f>
        <v/>
      </c>
      <c r="I19" s="73">
        <f>IF(AND(F19&lt;&gt;"",F19&lt;&gt;0),H19/F19,"")</f>
        <v/>
      </c>
      <c r="J19" s="11" t="inlineStr"/>
      <c r="K19" s="100" t="n"/>
      <c r="L19" s="49" t="n"/>
    </row>
    <row r="20" ht="20" customHeight="1">
      <c r="A20" s="8" t="inlineStr"/>
      <c r="B20" s="49" t="n"/>
      <c r="C20" s="35" t="inlineStr"/>
      <c r="D20" s="35" t="inlineStr"/>
      <c r="E20" s="35" t="inlineStr"/>
      <c r="F20" s="8">
        <f>IF(AND(C20&lt;&gt;"",D20&lt;&gt;"",E20&lt;&gt;""),C20+D20-E20,"")</f>
        <v/>
      </c>
      <c r="G20" s="35" t="inlineStr"/>
      <c r="H20" s="72">
        <f>IF(AND(G20&lt;&gt;"",F20&lt;&gt;""),G20-F20,"")</f>
        <v/>
      </c>
      <c r="I20" s="74">
        <f>IF(AND(F20&lt;&gt;"",F20&lt;&gt;0),H20/F20,"")</f>
        <v/>
      </c>
      <c r="J20" s="8" t="inlineStr"/>
      <c r="K20" s="100" t="n"/>
      <c r="L20" s="49" t="n"/>
    </row>
    <row r="21" ht="20" customHeight="1">
      <c r="A21" s="11" t="inlineStr"/>
      <c r="B21" s="49" t="n"/>
      <c r="C21" s="35" t="inlineStr"/>
      <c r="D21" s="35" t="inlineStr"/>
      <c r="E21" s="35" t="inlineStr"/>
      <c r="F21" s="11">
        <f>IF(AND(C21&lt;&gt;"",D21&lt;&gt;"",E21&lt;&gt;""),C21+D21-E21,"")</f>
        <v/>
      </c>
      <c r="G21" s="35" t="inlineStr"/>
      <c r="H21" s="72">
        <f>IF(AND(G21&lt;&gt;"",F21&lt;&gt;""),G21-F21,"")</f>
        <v/>
      </c>
      <c r="I21" s="73">
        <f>IF(AND(F21&lt;&gt;"",F21&lt;&gt;0),H21/F21,"")</f>
        <v/>
      </c>
      <c r="J21" s="11" t="inlineStr"/>
      <c r="K21" s="100" t="n"/>
      <c r="L21" s="49" t="n"/>
    </row>
    <row r="22" ht="20" customHeight="1">
      <c r="A22" s="8" t="inlineStr"/>
      <c r="B22" s="49" t="n"/>
      <c r="C22" s="35" t="inlineStr"/>
      <c r="D22" s="35" t="inlineStr"/>
      <c r="E22" s="35" t="inlineStr"/>
      <c r="F22" s="8">
        <f>IF(AND(C22&lt;&gt;"",D22&lt;&gt;"",E22&lt;&gt;""),C22+D22-E22,"")</f>
        <v/>
      </c>
      <c r="G22" s="35" t="inlineStr"/>
      <c r="H22" s="72">
        <f>IF(AND(G22&lt;&gt;"",F22&lt;&gt;""),G22-F22,"")</f>
        <v/>
      </c>
      <c r="I22" s="74">
        <f>IF(AND(F22&lt;&gt;"",F22&lt;&gt;0),H22/F22,"")</f>
        <v/>
      </c>
      <c r="J22" s="8" t="inlineStr"/>
      <c r="K22" s="100" t="n"/>
      <c r="L22" s="49" t="n"/>
    </row>
    <row r="23" ht="20" customHeight="1">
      <c r="A23" s="11" t="inlineStr"/>
      <c r="B23" s="49" t="n"/>
      <c r="C23" s="35" t="inlineStr"/>
      <c r="D23" s="35" t="inlineStr"/>
      <c r="E23" s="35" t="inlineStr"/>
      <c r="F23" s="11">
        <f>IF(AND(C23&lt;&gt;"",D23&lt;&gt;"",E23&lt;&gt;""),C23+D23-E23,"")</f>
        <v/>
      </c>
      <c r="G23" s="35" t="inlineStr"/>
      <c r="H23" s="72">
        <f>IF(AND(G23&lt;&gt;"",F23&lt;&gt;""),G23-F23,"")</f>
        <v/>
      </c>
      <c r="I23" s="73">
        <f>IF(AND(F23&lt;&gt;"",F23&lt;&gt;0),H23/F23,"")</f>
        <v/>
      </c>
      <c r="J23" s="11" t="inlineStr"/>
      <c r="K23" s="100" t="n"/>
      <c r="L23" s="49" t="n"/>
    </row>
    <row r="24" ht="20" customHeight="1">
      <c r="A24" s="8" t="inlineStr"/>
      <c r="B24" s="49" t="n"/>
      <c r="C24" s="35" t="inlineStr"/>
      <c r="D24" s="35" t="inlineStr"/>
      <c r="E24" s="35" t="inlineStr"/>
      <c r="F24" s="8">
        <f>IF(AND(C24&lt;&gt;"",D24&lt;&gt;"",E24&lt;&gt;""),C24+D24-E24,"")</f>
        <v/>
      </c>
      <c r="G24" s="35" t="inlineStr"/>
      <c r="H24" s="72">
        <f>IF(AND(G24&lt;&gt;"",F24&lt;&gt;""),G24-F24,"")</f>
        <v/>
      </c>
      <c r="I24" s="74">
        <f>IF(AND(F24&lt;&gt;"",F24&lt;&gt;0),H24/F24,"")</f>
        <v/>
      </c>
      <c r="J24" s="8" t="inlineStr"/>
      <c r="K24" s="100" t="n"/>
      <c r="L24" s="49" t="n"/>
    </row>
    <row r="27" ht="16" customHeight="1">
      <c r="A27" s="19" t="inlineStr">
        <is>
          <t>Réconciliation ventes / encaissements caisse</t>
        </is>
      </c>
    </row>
    <row r="28" ht="20" customHeight="1">
      <c r="A28" s="75" t="inlineStr">
        <is>
          <t>Total ventes enregistrées (registre ventes — USD)</t>
        </is>
      </c>
      <c r="B28" s="100" t="n"/>
      <c r="C28" s="100" t="n"/>
      <c r="D28" s="100" t="n"/>
      <c r="E28" s="100" t="n"/>
      <c r="F28" s="100" t="n"/>
      <c r="G28" s="49" t="n"/>
      <c r="H28" s="76" t="inlineStr"/>
      <c r="I28" s="101" t="n"/>
      <c r="J28" s="101" t="n"/>
      <c r="K28" s="101" t="n"/>
      <c r="L28" s="102" t="n"/>
    </row>
    <row r="29" ht="20" customHeight="1">
      <c r="A29" s="75" t="inlineStr">
        <is>
          <t>Total encaissements cédés à la caisse (USD)</t>
        </is>
      </c>
      <c r="B29" s="100" t="n"/>
      <c r="C29" s="100" t="n"/>
      <c r="D29" s="100" t="n"/>
      <c r="E29" s="100" t="n"/>
      <c r="F29" s="100" t="n"/>
      <c r="G29" s="49" t="n"/>
      <c r="H29" s="76" t="inlineStr"/>
      <c r="I29" s="101" t="n"/>
      <c r="J29" s="101" t="n"/>
      <c r="K29" s="101" t="n"/>
      <c r="L29" s="102" t="n"/>
    </row>
    <row r="30" ht="20" customHeight="1">
      <c r="A30" s="77" t="inlineStr">
        <is>
          <t>ÉCART (doit être expliqué si ≠ 0)</t>
        </is>
      </c>
      <c r="B30" s="100" t="n"/>
      <c r="C30" s="100" t="n"/>
      <c r="D30" s="100" t="n"/>
      <c r="E30" s="100" t="n"/>
      <c r="F30" s="100" t="n"/>
      <c r="G30" s="49" t="n"/>
      <c r="H30" s="76" t="inlineStr"/>
      <c r="I30" s="101" t="n"/>
      <c r="J30" s="101" t="n"/>
      <c r="K30" s="101" t="n"/>
      <c r="L30" s="102" t="n"/>
    </row>
    <row r="33" ht="16" customHeight="1">
      <c r="A33" s="39" t="inlineStr">
        <is>
          <t>Comptable du site
(préparé par)</t>
        </is>
      </c>
      <c r="B33" s="101" t="n"/>
      <c r="C33" s="101" t="n"/>
      <c r="D33" s="102" t="n"/>
      <c r="E33" s="39" t="inlineStr">
        <is>
          <t>DFI
(validé avant 12h lundi)</t>
        </is>
      </c>
      <c r="F33" s="101" t="n"/>
      <c r="G33" s="101" t="n"/>
      <c r="H33" s="102" t="n"/>
      <c r="I33" s="39" t="inlineStr">
        <is>
          <t>Responsable PV
(information)</t>
        </is>
      </c>
      <c r="J33" s="101" t="n"/>
      <c r="K33" s="101" t="n"/>
      <c r="L33" s="102" t="n"/>
    </row>
    <row r="34" ht="48" customHeight="1">
      <c r="A34" s="40" t="inlineStr"/>
      <c r="B34" s="100" t="n"/>
      <c r="C34" s="100" t="n"/>
      <c r="D34" s="49" t="n"/>
      <c r="E34" s="40" t="inlineStr"/>
      <c r="F34" s="100" t="n"/>
      <c r="G34" s="100" t="n"/>
      <c r="H34" s="49" t="n"/>
      <c r="I34" s="40" t="inlineStr"/>
      <c r="J34" s="100" t="n"/>
      <c r="K34" s="100" t="n"/>
      <c r="L34" s="49" t="n"/>
    </row>
    <row r="36" ht="13" customHeight="1">
      <c r="A36" s="41" t="inlineStr">
        <is>
          <t>DOC-ST-03 — Réconciliation Stock/Ventes Hebdo — KAKO Sarl / GHR — KILIMA Holdings</t>
        </is>
      </c>
    </row>
  </sheetData>
  <mergeCells count="52">
    <mergeCell ref="H30:L30"/>
    <mergeCell ref="A24:B24"/>
    <mergeCell ref="J24:L24"/>
    <mergeCell ref="A8:D8"/>
    <mergeCell ref="A15:B15"/>
    <mergeCell ref="H29:L29"/>
    <mergeCell ref="A29:G29"/>
    <mergeCell ref="J20:L20"/>
    <mergeCell ref="A27:L27"/>
    <mergeCell ref="A3:L3"/>
    <mergeCell ref="E8:L8"/>
    <mergeCell ref="A28:G28"/>
    <mergeCell ref="A9:D9"/>
    <mergeCell ref="A16:B16"/>
    <mergeCell ref="J16:L16"/>
    <mergeCell ref="A34:D34"/>
    <mergeCell ref="J22:L22"/>
    <mergeCell ref="I34:L34"/>
    <mergeCell ref="A30:G30"/>
    <mergeCell ref="I2:L2"/>
    <mergeCell ref="J12:L12"/>
    <mergeCell ref="A18:B18"/>
    <mergeCell ref="E33:H33"/>
    <mergeCell ref="J21:L21"/>
    <mergeCell ref="A4:L4"/>
    <mergeCell ref="A12:B12"/>
    <mergeCell ref="E9:L9"/>
    <mergeCell ref="A21:B21"/>
    <mergeCell ref="J18:L18"/>
    <mergeCell ref="A2:H2"/>
    <mergeCell ref="J23:L23"/>
    <mergeCell ref="A7:D7"/>
    <mergeCell ref="A14:B14"/>
    <mergeCell ref="H28:L28"/>
    <mergeCell ref="A17:B17"/>
    <mergeCell ref="J17:L17"/>
    <mergeCell ref="A23:B23"/>
    <mergeCell ref="A22:B22"/>
    <mergeCell ref="A20:B20"/>
    <mergeCell ref="J14:L14"/>
    <mergeCell ref="E7:L7"/>
    <mergeCell ref="A11:L11"/>
    <mergeCell ref="J13:L13"/>
    <mergeCell ref="A19:B19"/>
    <mergeCell ref="J19:L19"/>
    <mergeCell ref="E34:H34"/>
    <mergeCell ref="A36:L36"/>
    <mergeCell ref="A13:B13"/>
    <mergeCell ref="A6:L6"/>
    <mergeCell ref="A33:D33"/>
    <mergeCell ref="I33:L33"/>
    <mergeCell ref="J15:L15"/>
  </mergeCells>
  <pageMargins left="0.5" right="0.5" top="0.6" bottom="0.6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L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/>
    <row r="2" ht="26" customHeight="1">
      <c r="A2" s="30" t="inlineStr">
        <is>
          <t>KILIMA Holdings</t>
        </is>
      </c>
      <c r="I2" s="31" t="inlineStr">
        <is>
          <t>DOC-ST-04</t>
        </is>
      </c>
    </row>
    <row r="3" ht="18" customHeight="1">
      <c r="A3" s="32" t="inlineStr">
        <is>
          <t>REGISTRE DE STOCK BOISSONS</t>
        </is>
      </c>
    </row>
    <row r="4" ht="16" customHeight="1">
      <c r="A4" s="33" t="inlineStr">
        <is>
          <t>Guest House Relax — Tenu par le responsable bar / intendant — Mis à jour à chaque mouvement</t>
        </is>
      </c>
    </row>
    <row r="5" ht="6" customHeight="1"/>
    <row r="6" ht="16" customHeight="1">
      <c r="A6" s="5" t="inlineStr">
        <is>
          <t>En-tête</t>
        </is>
      </c>
    </row>
    <row r="7" ht="20" customHeight="1">
      <c r="A7" s="34" t="inlineStr">
        <is>
          <t>Semaine du … au …</t>
        </is>
      </c>
      <c r="B7" s="100" t="n"/>
      <c r="C7" s="100" t="n"/>
      <c r="D7" s="49" t="n"/>
      <c r="E7" s="35" t="inlineStr"/>
      <c r="F7" s="100" t="n"/>
      <c r="G7" s="100" t="n"/>
      <c r="H7" s="100" t="n"/>
      <c r="I7" s="100" t="n"/>
      <c r="J7" s="100" t="n"/>
      <c r="K7" s="100" t="n"/>
      <c r="L7" s="49" t="n"/>
    </row>
    <row r="8" ht="20" customHeight="1">
      <c r="A8" s="34" t="inlineStr">
        <is>
          <t>Responsable tenu du registre</t>
        </is>
      </c>
      <c r="B8" s="100" t="n"/>
      <c r="C8" s="100" t="n"/>
      <c r="D8" s="49" t="n"/>
      <c r="E8" s="35" t="inlineStr"/>
      <c r="F8" s="100" t="n"/>
      <c r="G8" s="100" t="n"/>
      <c r="H8" s="100" t="n"/>
      <c r="I8" s="100" t="n"/>
      <c r="J8" s="100" t="n"/>
      <c r="K8" s="100" t="n"/>
      <c r="L8" s="49" t="n"/>
    </row>
    <row r="10" ht="16" customHeight="1">
      <c r="A10" s="5" t="inlineStr">
        <is>
          <t>Stock et mouvements par référence boisson</t>
        </is>
      </c>
    </row>
    <row r="11" ht="30" customHeight="1">
      <c r="A11" s="43" t="inlineStr">
        <is>
          <t>Référence boisson</t>
        </is>
      </c>
      <c r="B11" s="104" t="n"/>
      <c r="C11" s="43" t="inlineStr">
        <is>
          <t>Unité</t>
        </is>
      </c>
      <c r="D11" s="43" t="inlineStr">
        <is>
          <t>Stock
ouverture
semaine</t>
        </is>
      </c>
      <c r="E11" s="43" t="inlineStr">
        <is>
          <t>Achats
semaine
(DOC-G-04)</t>
        </is>
      </c>
      <c r="F11" s="43" t="inlineStr">
        <is>
          <t>Ventes
enregistrées</t>
        </is>
      </c>
      <c r="G11" s="43" t="inlineStr">
        <is>
          <t>Offerts
(bon offert)</t>
        </is>
      </c>
      <c r="H11" s="43" t="inlineStr">
        <is>
          <t>Casse
déclarée</t>
        </is>
      </c>
      <c r="I11" s="43" t="inlineStr">
        <is>
          <t>Stock
fin théorique</t>
        </is>
      </c>
      <c r="J11" s="43" t="inlineStr">
        <is>
          <t>Stock
fin physique</t>
        </is>
      </c>
      <c r="K11" s="43" t="inlineStr">
        <is>
          <t>ÉCART</t>
        </is>
      </c>
      <c r="L11" s="43" t="inlineStr">
        <is>
          <t>Obs.</t>
        </is>
      </c>
    </row>
    <row r="12" ht="20" customHeight="1">
      <c r="A12" s="11" t="inlineStr">
        <is>
          <t>Bière Primus 65cl</t>
        </is>
      </c>
      <c r="B12" s="49" t="n"/>
      <c r="C12" s="11" t="inlineStr"/>
      <c r="D12" s="35" t="inlineStr"/>
      <c r="E12" s="35" t="inlineStr"/>
      <c r="F12" s="35" t="inlineStr"/>
      <c r="G12" s="35" t="inlineStr"/>
      <c r="H12" s="35" t="inlineStr"/>
      <c r="I12" s="11">
        <f>IF(D12&lt;&gt;"",D12+E12-F12-G12-H12,"")</f>
        <v/>
      </c>
      <c r="J12" s="35" t="inlineStr"/>
      <c r="K12" s="78">
        <f>IF(AND(J12&lt;&gt;"",I12&lt;&gt;""),J12-I12,"")</f>
        <v/>
      </c>
      <c r="L12" s="11" t="inlineStr"/>
    </row>
    <row r="13" ht="20" customHeight="1">
      <c r="A13" s="8" t="inlineStr">
        <is>
          <t>Bière Tembo 33cl</t>
        </is>
      </c>
      <c r="B13" s="49" t="n"/>
      <c r="C13" s="8" t="inlineStr"/>
      <c r="D13" s="35" t="inlineStr"/>
      <c r="E13" s="35" t="inlineStr"/>
      <c r="F13" s="35" t="inlineStr"/>
      <c r="G13" s="35" t="inlineStr"/>
      <c r="H13" s="35" t="inlineStr"/>
      <c r="I13" s="8">
        <f>IF(D13&lt;&gt;"",D13+E13-F13-G13-H13,"")</f>
        <v/>
      </c>
      <c r="J13" s="35" t="inlineStr"/>
      <c r="K13" s="78">
        <f>IF(AND(J13&lt;&gt;"",I13&lt;&gt;""),J13-I13,"")</f>
        <v/>
      </c>
      <c r="L13" s="8" t="inlineStr"/>
    </row>
    <row r="14" ht="20" customHeight="1">
      <c r="A14" s="11" t="inlineStr">
        <is>
          <t>Coca-Cola 33cl</t>
        </is>
      </c>
      <c r="B14" s="49" t="n"/>
      <c r="C14" s="11" t="inlineStr"/>
      <c r="D14" s="35" t="inlineStr"/>
      <c r="E14" s="35" t="inlineStr"/>
      <c r="F14" s="35" t="inlineStr"/>
      <c r="G14" s="35" t="inlineStr"/>
      <c r="H14" s="35" t="inlineStr"/>
      <c r="I14" s="11">
        <f>IF(D14&lt;&gt;"",D14+E14-F14-G14-H14,"")</f>
        <v/>
      </c>
      <c r="J14" s="35" t="inlineStr"/>
      <c r="K14" s="78">
        <f>IF(AND(J14&lt;&gt;"",I14&lt;&gt;""),J14-I14,"")</f>
        <v/>
      </c>
      <c r="L14" s="11" t="inlineStr"/>
    </row>
    <row r="15" ht="20" customHeight="1">
      <c r="A15" s="8" t="inlineStr">
        <is>
          <t>Fanta Orange 33cl</t>
        </is>
      </c>
      <c r="B15" s="49" t="n"/>
      <c r="C15" s="8" t="inlineStr"/>
      <c r="D15" s="35" t="inlineStr"/>
      <c r="E15" s="35" t="inlineStr"/>
      <c r="F15" s="35" t="inlineStr"/>
      <c r="G15" s="35" t="inlineStr"/>
      <c r="H15" s="35" t="inlineStr"/>
      <c r="I15" s="8">
        <f>IF(D15&lt;&gt;"",D15+E15-F15-G15-H15,"")</f>
        <v/>
      </c>
      <c r="J15" s="35" t="inlineStr"/>
      <c r="K15" s="78">
        <f>IF(AND(J15&lt;&gt;"",I15&lt;&gt;""),J15-I15,"")</f>
        <v/>
      </c>
      <c r="L15" s="8" t="inlineStr"/>
    </row>
    <row r="16" ht="20" customHeight="1">
      <c r="A16" s="11" t="inlineStr">
        <is>
          <t>Sprite 33cl</t>
        </is>
      </c>
      <c r="B16" s="49" t="n"/>
      <c r="C16" s="11" t="inlineStr"/>
      <c r="D16" s="35" t="inlineStr"/>
      <c r="E16" s="35" t="inlineStr"/>
      <c r="F16" s="35" t="inlineStr"/>
      <c r="G16" s="35" t="inlineStr"/>
      <c r="H16" s="35" t="inlineStr"/>
      <c r="I16" s="11">
        <f>IF(D16&lt;&gt;"",D16+E16-F16-G16-H16,"")</f>
        <v/>
      </c>
      <c r="J16" s="35" t="inlineStr"/>
      <c r="K16" s="78">
        <f>IF(AND(J16&lt;&gt;"",I16&lt;&gt;""),J16-I16,"")</f>
        <v/>
      </c>
      <c r="L16" s="11" t="inlineStr"/>
    </row>
    <row r="17" ht="20" customHeight="1">
      <c r="A17" s="8" t="inlineStr">
        <is>
          <t>Eau minérale 1.5L</t>
        </is>
      </c>
      <c r="B17" s="49" t="n"/>
      <c r="C17" s="8" t="inlineStr"/>
      <c r="D17" s="35" t="inlineStr"/>
      <c r="E17" s="35" t="inlineStr"/>
      <c r="F17" s="35" t="inlineStr"/>
      <c r="G17" s="35" t="inlineStr"/>
      <c r="H17" s="35" t="inlineStr"/>
      <c r="I17" s="8">
        <f>IF(D17&lt;&gt;"",D17+E17-F17-G17-H17,"")</f>
        <v/>
      </c>
      <c r="J17" s="35" t="inlineStr"/>
      <c r="K17" s="78">
        <f>IF(AND(J17&lt;&gt;"",I17&lt;&gt;""),J17-I17,"")</f>
        <v/>
      </c>
      <c r="L17" s="8" t="inlineStr"/>
    </row>
    <row r="18" ht="20" customHeight="1">
      <c r="A18" s="11" t="inlineStr">
        <is>
          <t>Eau minérale 0.5L</t>
        </is>
      </c>
      <c r="B18" s="49" t="n"/>
      <c r="C18" s="11" t="inlineStr"/>
      <c r="D18" s="35" t="inlineStr"/>
      <c r="E18" s="35" t="inlineStr"/>
      <c r="F18" s="35" t="inlineStr"/>
      <c r="G18" s="35" t="inlineStr"/>
      <c r="H18" s="35" t="inlineStr"/>
      <c r="I18" s="11">
        <f>IF(D18&lt;&gt;"",D18+E18-F18-G18-H18,"")</f>
        <v/>
      </c>
      <c r="J18" s="35" t="inlineStr"/>
      <c r="K18" s="78">
        <f>IF(AND(J18&lt;&gt;"",I18&lt;&gt;""),J18-I18,"")</f>
        <v/>
      </c>
      <c r="L18" s="11" t="inlineStr"/>
    </row>
    <row r="19" ht="20" customHeight="1">
      <c r="A19" s="8" t="inlineStr">
        <is>
          <t>Jus de fruits 1L</t>
        </is>
      </c>
      <c r="B19" s="49" t="n"/>
      <c r="C19" s="8" t="inlineStr"/>
      <c r="D19" s="35" t="inlineStr"/>
      <c r="E19" s="35" t="inlineStr"/>
      <c r="F19" s="35" t="inlineStr"/>
      <c r="G19" s="35" t="inlineStr"/>
      <c r="H19" s="35" t="inlineStr"/>
      <c r="I19" s="8">
        <f>IF(D19&lt;&gt;"",D19+E19-F19-G19-H19,"")</f>
        <v/>
      </c>
      <c r="J19" s="35" t="inlineStr"/>
      <c r="K19" s="78">
        <f>IF(AND(J19&lt;&gt;"",I19&lt;&gt;""),J19-I19,"")</f>
        <v/>
      </c>
      <c r="L19" s="8" t="inlineStr"/>
    </row>
    <row r="20" ht="20" customHeight="1">
      <c r="A20" s="11" t="inlineStr">
        <is>
          <t>Whisky (bouteille)</t>
        </is>
      </c>
      <c r="B20" s="49" t="n"/>
      <c r="C20" s="11" t="inlineStr"/>
      <c r="D20" s="35" t="inlineStr"/>
      <c r="E20" s="35" t="inlineStr"/>
      <c r="F20" s="35" t="inlineStr"/>
      <c r="G20" s="35" t="inlineStr"/>
      <c r="H20" s="35" t="inlineStr"/>
      <c r="I20" s="11">
        <f>IF(D20&lt;&gt;"",D20+E20-F20-G20-H20,"")</f>
        <v/>
      </c>
      <c r="J20" s="35" t="inlineStr"/>
      <c r="K20" s="78">
        <f>IF(AND(J20&lt;&gt;"",I20&lt;&gt;""),J20-I20,"")</f>
        <v/>
      </c>
      <c r="L20" s="11" t="inlineStr"/>
    </row>
    <row r="21" ht="20" customHeight="1">
      <c r="A21" s="8" t="inlineStr">
        <is>
          <t>Vin rouge (bouteille)</t>
        </is>
      </c>
      <c r="B21" s="49" t="n"/>
      <c r="C21" s="8" t="inlineStr"/>
      <c r="D21" s="35" t="inlineStr"/>
      <c r="E21" s="35" t="inlineStr"/>
      <c r="F21" s="35" t="inlineStr"/>
      <c r="G21" s="35" t="inlineStr"/>
      <c r="H21" s="35" t="inlineStr"/>
      <c r="I21" s="8">
        <f>IF(D21&lt;&gt;"",D21+E21-F21-G21-H21,"")</f>
        <v/>
      </c>
      <c r="J21" s="35" t="inlineStr"/>
      <c r="K21" s="78">
        <f>IF(AND(J21&lt;&gt;"",I21&lt;&gt;""),J21-I21,"")</f>
        <v/>
      </c>
      <c r="L21" s="8" t="inlineStr"/>
    </row>
    <row r="22" ht="20" customHeight="1">
      <c r="A22" s="11" t="inlineStr">
        <is>
          <t>Vin blanc (bouteille)</t>
        </is>
      </c>
      <c r="B22" s="49" t="n"/>
      <c r="C22" s="11" t="inlineStr"/>
      <c r="D22" s="35" t="inlineStr"/>
      <c r="E22" s="35" t="inlineStr"/>
      <c r="F22" s="35" t="inlineStr"/>
      <c r="G22" s="35" t="inlineStr"/>
      <c r="H22" s="35" t="inlineStr"/>
      <c r="I22" s="11">
        <f>IF(D22&lt;&gt;"",D22+E22-F22-G22-H22,"")</f>
        <v/>
      </c>
      <c r="J22" s="35" t="inlineStr"/>
      <c r="K22" s="78">
        <f>IF(AND(J22&lt;&gt;"",I22&lt;&gt;""),J22-I22,"")</f>
        <v/>
      </c>
      <c r="L22" s="11" t="inlineStr"/>
    </row>
    <row r="23" ht="20" customHeight="1">
      <c r="A23" s="8" t="inlineStr">
        <is>
          <t>Champagne / Mousseux</t>
        </is>
      </c>
      <c r="B23" s="49" t="n"/>
      <c r="C23" s="8" t="inlineStr"/>
      <c r="D23" s="35" t="inlineStr"/>
      <c r="E23" s="35" t="inlineStr"/>
      <c r="F23" s="35" t="inlineStr"/>
      <c r="G23" s="35" t="inlineStr"/>
      <c r="H23" s="35" t="inlineStr"/>
      <c r="I23" s="8">
        <f>IF(D23&lt;&gt;"",D23+E23-F23-G23-H23,"")</f>
        <v/>
      </c>
      <c r="J23" s="35" t="inlineStr"/>
      <c r="K23" s="78">
        <f>IF(AND(J23&lt;&gt;"",I23&lt;&gt;""),J23-I23,"")</f>
        <v/>
      </c>
      <c r="L23" s="8" t="inlineStr"/>
    </row>
    <row r="24" ht="20" customHeight="1">
      <c r="A24" s="11" t="inlineStr">
        <is>
          <t>Autre boisson 1</t>
        </is>
      </c>
      <c r="B24" s="49" t="n"/>
      <c r="C24" s="11" t="inlineStr"/>
      <c r="D24" s="35" t="inlineStr"/>
      <c r="E24" s="35" t="inlineStr"/>
      <c r="F24" s="35" t="inlineStr"/>
      <c r="G24" s="35" t="inlineStr"/>
      <c r="H24" s="35" t="inlineStr"/>
      <c r="I24" s="11">
        <f>IF(D24&lt;&gt;"",D24+E24-F24-G24-H24,"")</f>
        <v/>
      </c>
      <c r="J24" s="35" t="inlineStr"/>
      <c r="K24" s="78">
        <f>IF(AND(J24&lt;&gt;"",I24&lt;&gt;""),J24-I24,"")</f>
        <v/>
      </c>
      <c r="L24" s="11" t="inlineStr"/>
    </row>
    <row r="25" ht="20" customHeight="1">
      <c r="A25" s="8" t="inlineStr">
        <is>
          <t>Autre boisson 2</t>
        </is>
      </c>
      <c r="B25" s="49" t="n"/>
      <c r="C25" s="8" t="inlineStr"/>
      <c r="D25" s="35" t="inlineStr"/>
      <c r="E25" s="35" t="inlineStr"/>
      <c r="F25" s="35" t="inlineStr"/>
      <c r="G25" s="35" t="inlineStr"/>
      <c r="H25" s="35" t="inlineStr"/>
      <c r="I25" s="8">
        <f>IF(D25&lt;&gt;"",D25+E25-F25-G25-H25,"")</f>
        <v/>
      </c>
      <c r="J25" s="35" t="inlineStr"/>
      <c r="K25" s="78">
        <f>IF(AND(J25&lt;&gt;"",I25&lt;&gt;""),J25-I25,"")</f>
        <v/>
      </c>
      <c r="L25" s="8" t="inlineStr"/>
    </row>
    <row r="28" ht="14" customHeight="1">
      <c r="A28" s="47" t="inlineStr">
        <is>
          <t>Règle : Tout article offert doit faire l'objet d'un Bon Offert signé par l'intendant avant de sortir du stock.</t>
        </is>
      </c>
    </row>
    <row r="30" ht="16" customHeight="1">
      <c r="A30" s="39" t="inlineStr">
        <is>
          <t>Responsable bar / Intendant
(signature fin de semaine)</t>
        </is>
      </c>
      <c r="B30" s="101" t="n"/>
      <c r="C30" s="101" t="n"/>
      <c r="D30" s="101" t="n"/>
      <c r="E30" s="101" t="n"/>
      <c r="F30" s="102" t="n"/>
      <c r="G30" s="39" t="inlineStr">
        <is>
          <t>Comptable Raphael T
(visa réconciliation)</t>
        </is>
      </c>
      <c r="H30" s="101" t="n"/>
      <c r="I30" s="101" t="n"/>
      <c r="J30" s="101" t="n"/>
      <c r="K30" s="101" t="n"/>
      <c r="L30" s="102" t="n"/>
    </row>
    <row r="31" ht="48" customHeight="1">
      <c r="A31" s="40" t="inlineStr"/>
      <c r="B31" s="100" t="n"/>
      <c r="C31" s="100" t="n"/>
      <c r="D31" s="100" t="n"/>
      <c r="E31" s="100" t="n"/>
      <c r="F31" s="49" t="n"/>
      <c r="G31" s="40" t="inlineStr"/>
      <c r="H31" s="100" t="n"/>
      <c r="I31" s="100" t="n"/>
      <c r="J31" s="100" t="n"/>
      <c r="K31" s="100" t="n"/>
      <c r="L31" s="49" t="n"/>
    </row>
    <row r="33" ht="13" customHeight="1">
      <c r="A33" s="41" t="inlineStr">
        <is>
          <t>DOC-ST-04 — Registre de Stock Boissons — Guest House Relax — KILIMA Holdings</t>
        </is>
      </c>
    </row>
  </sheetData>
  <mergeCells count="31">
    <mergeCell ref="A24:B24"/>
    <mergeCell ref="A8:D8"/>
    <mergeCell ref="A15:B15"/>
    <mergeCell ref="A11:B11"/>
    <mergeCell ref="A3:L3"/>
    <mergeCell ref="E8:L8"/>
    <mergeCell ref="G30:L30"/>
    <mergeCell ref="A16:B16"/>
    <mergeCell ref="A25:B25"/>
    <mergeCell ref="A33:L33"/>
    <mergeCell ref="I2:L2"/>
    <mergeCell ref="A18:B18"/>
    <mergeCell ref="A4:L4"/>
    <mergeCell ref="A12:B12"/>
    <mergeCell ref="A21:B21"/>
    <mergeCell ref="A10:L10"/>
    <mergeCell ref="A2:H2"/>
    <mergeCell ref="A28:L28"/>
    <mergeCell ref="A31:F31"/>
    <mergeCell ref="G31:L31"/>
    <mergeCell ref="A7:D7"/>
    <mergeCell ref="A14:B14"/>
    <mergeCell ref="A17:B17"/>
    <mergeCell ref="A23:B23"/>
    <mergeCell ref="A30:F30"/>
    <mergeCell ref="A22:B22"/>
    <mergeCell ref="A20:B20"/>
    <mergeCell ref="E7:L7"/>
    <mergeCell ref="A19:B19"/>
    <mergeCell ref="A13:B13"/>
    <mergeCell ref="A6:L6"/>
  </mergeCells>
  <pageMargins left="0.5" right="0.5" top="0.6" bottom="0.6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M4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6" customWidth="1" min="3" max="3"/>
    <col width="8" customWidth="1" min="4" max="4"/>
    <col width="14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/>
    <row r="2" ht="26" customHeight="1">
      <c r="A2" s="30" t="inlineStr">
        <is>
          <t>KILIMA Holdings</t>
        </is>
      </c>
      <c r="I2" s="31" t="inlineStr">
        <is>
          <t>DOC-VT-01</t>
        </is>
      </c>
    </row>
    <row r="3" ht="18" customHeight="1">
      <c r="A3" s="65" t="inlineStr">
        <is>
          <t>REGISTRE DES VENTES JOURNALIER — RETAIL</t>
        </is>
      </c>
    </row>
    <row r="4" ht="16" customHeight="1">
      <c r="A4" s="66" t="inlineStr">
        <is>
          <t>KAKO Sarl (Likasi &amp; Kolwezi) &amp; Guest House Relax — Un registre par caisse par jour</t>
        </is>
      </c>
    </row>
    <row r="5" ht="6" customHeight="1"/>
    <row r="6" ht="16" customHeight="1">
      <c r="A6" s="19" t="inlineStr">
        <is>
          <t>En-tête</t>
        </is>
      </c>
    </row>
    <row r="7" ht="20" customHeight="1">
      <c r="A7" s="22" t="inlineStr">
        <is>
          <t>Date</t>
        </is>
      </c>
      <c r="B7" s="100" t="n"/>
      <c r="C7" s="100" t="n"/>
      <c r="D7" s="49" t="n"/>
      <c r="E7" s="35" t="inlineStr"/>
      <c r="F7" s="100" t="n"/>
      <c r="G7" s="100" t="n"/>
      <c r="H7" s="100" t="n"/>
      <c r="I7" s="100" t="n"/>
      <c r="J7" s="100" t="n"/>
      <c r="K7" s="100" t="n"/>
      <c r="L7" s="49" t="n"/>
    </row>
    <row r="8" ht="20" customHeight="1">
      <c r="A8" s="22" t="inlineStr">
        <is>
          <t>Entité / Site</t>
        </is>
      </c>
      <c r="B8" s="100" t="n"/>
      <c r="C8" s="100" t="n"/>
      <c r="D8" s="49" t="n"/>
      <c r="E8" s="35" t="inlineStr"/>
      <c r="F8" s="100" t="n"/>
      <c r="G8" s="100" t="n"/>
      <c r="H8" s="100" t="n"/>
      <c r="I8" s="100" t="n"/>
      <c r="J8" s="100" t="n"/>
      <c r="K8" s="100" t="n"/>
      <c r="L8" s="49" t="n"/>
    </row>
    <row r="9" ht="20" customHeight="1">
      <c r="A9" s="22" t="inlineStr">
        <is>
          <t>Commis de caisse / Vendeur</t>
        </is>
      </c>
      <c r="B9" s="100" t="n"/>
      <c r="C9" s="100" t="n"/>
      <c r="D9" s="49" t="n"/>
      <c r="E9" s="35" t="inlineStr"/>
      <c r="F9" s="100" t="n"/>
      <c r="G9" s="100" t="n"/>
      <c r="H9" s="100" t="n"/>
      <c r="I9" s="100" t="n"/>
      <c r="J9" s="100" t="n"/>
      <c r="K9" s="100" t="n"/>
      <c r="L9" s="49" t="n"/>
    </row>
    <row r="11" ht="16" customHeight="1">
      <c r="A11" s="19" t="inlineStr">
        <is>
          <t>Ventes de la journée</t>
        </is>
      </c>
    </row>
    <row r="12" ht="22" customHeight="1">
      <c r="A12" s="39" t="inlineStr">
        <is>
          <t>N°</t>
        </is>
      </c>
      <c r="B12" s="39" t="inlineStr">
        <is>
          <t>Heure</t>
        </is>
      </c>
      <c r="C12" s="39" t="inlineStr">
        <is>
          <t>Produit / Article</t>
        </is>
      </c>
      <c r="D12" s="101" t="n"/>
      <c r="E12" s="102" t="n"/>
      <c r="F12" s="39" t="inlineStr">
        <is>
          <t>Quantité</t>
        </is>
      </c>
      <c r="G12" s="39" t="inlineStr">
        <is>
          <t>Prix unit.
USD</t>
        </is>
      </c>
      <c r="H12" s="39" t="inlineStr">
        <is>
          <t>Montant
USD</t>
        </is>
      </c>
      <c r="I12" s="39" t="inlineStr">
        <is>
          <t>Prix unit.
CDF</t>
        </is>
      </c>
      <c r="J12" s="39" t="inlineStr">
        <is>
          <t>Montant
CDF</t>
        </is>
      </c>
      <c r="K12" s="39" t="inlineStr">
        <is>
          <t>N° reçu
caisse</t>
        </is>
      </c>
      <c r="L12" s="39" t="inlineStr">
        <is>
          <t>Obs.</t>
        </is>
      </c>
      <c r="M12" s="102" t="n"/>
    </row>
    <row r="13" ht="16" customHeight="1">
      <c r="A13" s="79" t="n">
        <v>1</v>
      </c>
      <c r="B13" s="35" t="inlineStr"/>
      <c r="C13" s="11" t="inlineStr"/>
      <c r="D13" s="100" t="n"/>
      <c r="E13" s="49" t="n"/>
      <c r="F13" s="35" t="inlineStr"/>
      <c r="G13" s="35" t="inlineStr"/>
      <c r="H13" s="67">
        <f>IF(AND(F13&lt;&gt;"",G13&lt;&gt;""),F13*G13,"")</f>
        <v/>
      </c>
      <c r="I13" s="35" t="inlineStr"/>
      <c r="J13" s="67">
        <f>IF(AND(F13&lt;&gt;"",I13&lt;&gt;""),F13*I13,"")</f>
        <v/>
      </c>
      <c r="K13" s="35" t="inlineStr"/>
      <c r="L13" s="11" t="inlineStr"/>
    </row>
    <row r="14" ht="16" customHeight="1">
      <c r="A14" s="80" t="n">
        <v>2</v>
      </c>
      <c r="B14" s="35" t="inlineStr"/>
      <c r="C14" s="23" t="inlineStr"/>
      <c r="D14" s="100" t="n"/>
      <c r="E14" s="49" t="n"/>
      <c r="F14" s="35" t="inlineStr"/>
      <c r="G14" s="35" t="inlineStr"/>
      <c r="H14" s="68">
        <f>IF(AND(F14&lt;&gt;"",G14&lt;&gt;""),F14*G14,"")</f>
        <v/>
      </c>
      <c r="I14" s="35" t="inlineStr"/>
      <c r="J14" s="68">
        <f>IF(AND(F14&lt;&gt;"",I14&lt;&gt;""),F14*I14,"")</f>
        <v/>
      </c>
      <c r="K14" s="35" t="inlineStr"/>
      <c r="L14" s="23" t="inlineStr"/>
    </row>
    <row r="15" ht="16" customHeight="1">
      <c r="A15" s="79" t="n">
        <v>3</v>
      </c>
      <c r="B15" s="35" t="inlineStr"/>
      <c r="C15" s="11" t="inlineStr"/>
      <c r="D15" s="100" t="n"/>
      <c r="E15" s="49" t="n"/>
      <c r="F15" s="35" t="inlineStr"/>
      <c r="G15" s="35" t="inlineStr"/>
      <c r="H15" s="67">
        <f>IF(AND(F15&lt;&gt;"",G15&lt;&gt;""),F15*G15,"")</f>
        <v/>
      </c>
      <c r="I15" s="35" t="inlineStr"/>
      <c r="J15" s="67">
        <f>IF(AND(F15&lt;&gt;"",I15&lt;&gt;""),F15*I15,"")</f>
        <v/>
      </c>
      <c r="K15" s="35" t="inlineStr"/>
      <c r="L15" s="11" t="inlineStr"/>
    </row>
    <row r="16" ht="16" customHeight="1">
      <c r="A16" s="80" t="n">
        <v>4</v>
      </c>
      <c r="B16" s="35" t="inlineStr"/>
      <c r="C16" s="23" t="inlineStr"/>
      <c r="D16" s="100" t="n"/>
      <c r="E16" s="49" t="n"/>
      <c r="F16" s="35" t="inlineStr"/>
      <c r="G16" s="35" t="inlineStr"/>
      <c r="H16" s="68">
        <f>IF(AND(F16&lt;&gt;"",G16&lt;&gt;""),F16*G16,"")</f>
        <v/>
      </c>
      <c r="I16" s="35" t="inlineStr"/>
      <c r="J16" s="68">
        <f>IF(AND(F16&lt;&gt;"",I16&lt;&gt;""),F16*I16,"")</f>
        <v/>
      </c>
      <c r="K16" s="35" t="inlineStr"/>
      <c r="L16" s="23" t="inlineStr"/>
    </row>
    <row r="17" ht="16" customHeight="1">
      <c r="A17" s="79" t="n">
        <v>5</v>
      </c>
      <c r="B17" s="35" t="inlineStr"/>
      <c r="C17" s="11" t="inlineStr"/>
      <c r="D17" s="100" t="n"/>
      <c r="E17" s="49" t="n"/>
      <c r="F17" s="35" t="inlineStr"/>
      <c r="G17" s="35" t="inlineStr"/>
      <c r="H17" s="67">
        <f>IF(AND(F17&lt;&gt;"",G17&lt;&gt;""),F17*G17,"")</f>
        <v/>
      </c>
      <c r="I17" s="35" t="inlineStr"/>
      <c r="J17" s="67">
        <f>IF(AND(F17&lt;&gt;"",I17&lt;&gt;""),F17*I17,"")</f>
        <v/>
      </c>
      <c r="K17" s="35" t="inlineStr"/>
      <c r="L17" s="11" t="inlineStr"/>
    </row>
    <row r="18" ht="16" customHeight="1">
      <c r="A18" s="80" t="n">
        <v>6</v>
      </c>
      <c r="B18" s="35" t="inlineStr"/>
      <c r="C18" s="23" t="inlineStr"/>
      <c r="D18" s="100" t="n"/>
      <c r="E18" s="49" t="n"/>
      <c r="F18" s="35" t="inlineStr"/>
      <c r="G18" s="35" t="inlineStr"/>
      <c r="H18" s="68">
        <f>IF(AND(F18&lt;&gt;"",G18&lt;&gt;""),F18*G18,"")</f>
        <v/>
      </c>
      <c r="I18" s="35" t="inlineStr"/>
      <c r="J18" s="68">
        <f>IF(AND(F18&lt;&gt;"",I18&lt;&gt;""),F18*I18,"")</f>
        <v/>
      </c>
      <c r="K18" s="35" t="inlineStr"/>
      <c r="L18" s="23" t="inlineStr"/>
    </row>
    <row r="19" ht="16" customHeight="1">
      <c r="A19" s="79" t="n">
        <v>7</v>
      </c>
      <c r="B19" s="35" t="inlineStr"/>
      <c r="C19" s="11" t="inlineStr"/>
      <c r="D19" s="100" t="n"/>
      <c r="E19" s="49" t="n"/>
      <c r="F19" s="35" t="inlineStr"/>
      <c r="G19" s="35" t="inlineStr"/>
      <c r="H19" s="67">
        <f>IF(AND(F19&lt;&gt;"",G19&lt;&gt;""),F19*G19,"")</f>
        <v/>
      </c>
      <c r="I19" s="35" t="inlineStr"/>
      <c r="J19" s="67">
        <f>IF(AND(F19&lt;&gt;"",I19&lt;&gt;""),F19*I19,"")</f>
        <v/>
      </c>
      <c r="K19" s="35" t="inlineStr"/>
      <c r="L19" s="11" t="inlineStr"/>
    </row>
    <row r="20" ht="16" customHeight="1">
      <c r="A20" s="80" t="n">
        <v>8</v>
      </c>
      <c r="B20" s="35" t="inlineStr"/>
      <c r="C20" s="23" t="inlineStr"/>
      <c r="D20" s="100" t="n"/>
      <c r="E20" s="49" t="n"/>
      <c r="F20" s="35" t="inlineStr"/>
      <c r="G20" s="35" t="inlineStr"/>
      <c r="H20" s="68">
        <f>IF(AND(F20&lt;&gt;"",G20&lt;&gt;""),F20*G20,"")</f>
        <v/>
      </c>
      <c r="I20" s="35" t="inlineStr"/>
      <c r="J20" s="68">
        <f>IF(AND(F20&lt;&gt;"",I20&lt;&gt;""),F20*I20,"")</f>
        <v/>
      </c>
      <c r="K20" s="35" t="inlineStr"/>
      <c r="L20" s="23" t="inlineStr"/>
    </row>
    <row r="21" ht="16" customHeight="1">
      <c r="A21" s="79" t="n">
        <v>9</v>
      </c>
      <c r="B21" s="35" t="inlineStr"/>
      <c r="C21" s="11" t="inlineStr"/>
      <c r="D21" s="100" t="n"/>
      <c r="E21" s="49" t="n"/>
      <c r="F21" s="35" t="inlineStr"/>
      <c r="G21" s="35" t="inlineStr"/>
      <c r="H21" s="67">
        <f>IF(AND(F21&lt;&gt;"",G21&lt;&gt;""),F21*G21,"")</f>
        <v/>
      </c>
      <c r="I21" s="35" t="inlineStr"/>
      <c r="J21" s="67">
        <f>IF(AND(F21&lt;&gt;"",I21&lt;&gt;""),F21*I21,"")</f>
        <v/>
      </c>
      <c r="K21" s="35" t="inlineStr"/>
      <c r="L21" s="11" t="inlineStr"/>
    </row>
    <row r="22" ht="16" customHeight="1">
      <c r="A22" s="80" t="n">
        <v>10</v>
      </c>
      <c r="B22" s="35" t="inlineStr"/>
      <c r="C22" s="23" t="inlineStr"/>
      <c r="D22" s="100" t="n"/>
      <c r="E22" s="49" t="n"/>
      <c r="F22" s="35" t="inlineStr"/>
      <c r="G22" s="35" t="inlineStr"/>
      <c r="H22" s="68">
        <f>IF(AND(F22&lt;&gt;"",G22&lt;&gt;""),F22*G22,"")</f>
        <v/>
      </c>
      <c r="I22" s="35" t="inlineStr"/>
      <c r="J22" s="68">
        <f>IF(AND(F22&lt;&gt;"",I22&lt;&gt;""),F22*I22,"")</f>
        <v/>
      </c>
      <c r="K22" s="35" t="inlineStr"/>
      <c r="L22" s="23" t="inlineStr"/>
    </row>
    <row r="23" ht="16" customHeight="1">
      <c r="A23" s="79" t="n">
        <v>11</v>
      </c>
      <c r="B23" s="35" t="inlineStr"/>
      <c r="C23" s="11" t="inlineStr"/>
      <c r="D23" s="100" t="n"/>
      <c r="E23" s="49" t="n"/>
      <c r="F23" s="35" t="inlineStr"/>
      <c r="G23" s="35" t="inlineStr"/>
      <c r="H23" s="67">
        <f>IF(AND(F23&lt;&gt;"",G23&lt;&gt;""),F23*G23,"")</f>
        <v/>
      </c>
      <c r="I23" s="35" t="inlineStr"/>
      <c r="J23" s="67">
        <f>IF(AND(F23&lt;&gt;"",I23&lt;&gt;""),F23*I23,"")</f>
        <v/>
      </c>
      <c r="K23" s="35" t="inlineStr"/>
      <c r="L23" s="11" t="inlineStr"/>
    </row>
    <row r="24" ht="16" customHeight="1">
      <c r="A24" s="80" t="n">
        <v>12</v>
      </c>
      <c r="B24" s="35" t="inlineStr"/>
      <c r="C24" s="23" t="inlineStr"/>
      <c r="D24" s="100" t="n"/>
      <c r="E24" s="49" t="n"/>
      <c r="F24" s="35" t="inlineStr"/>
      <c r="G24" s="35" t="inlineStr"/>
      <c r="H24" s="68">
        <f>IF(AND(F24&lt;&gt;"",G24&lt;&gt;""),F24*G24,"")</f>
        <v/>
      </c>
      <c r="I24" s="35" t="inlineStr"/>
      <c r="J24" s="68">
        <f>IF(AND(F24&lt;&gt;"",I24&lt;&gt;""),F24*I24,"")</f>
        <v/>
      </c>
      <c r="K24" s="35" t="inlineStr"/>
      <c r="L24" s="23" t="inlineStr"/>
    </row>
    <row r="25" ht="16" customHeight="1">
      <c r="A25" s="79" t="n">
        <v>13</v>
      </c>
      <c r="B25" s="35" t="inlineStr"/>
      <c r="C25" s="11" t="inlineStr"/>
      <c r="D25" s="100" t="n"/>
      <c r="E25" s="49" t="n"/>
      <c r="F25" s="35" t="inlineStr"/>
      <c r="G25" s="35" t="inlineStr"/>
      <c r="H25" s="67">
        <f>IF(AND(F25&lt;&gt;"",G25&lt;&gt;""),F25*G25,"")</f>
        <v/>
      </c>
      <c r="I25" s="35" t="inlineStr"/>
      <c r="J25" s="67">
        <f>IF(AND(F25&lt;&gt;"",I25&lt;&gt;""),F25*I25,"")</f>
        <v/>
      </c>
      <c r="K25" s="35" t="inlineStr"/>
      <c r="L25" s="11" t="inlineStr"/>
    </row>
    <row r="26" ht="16" customHeight="1">
      <c r="A26" s="80" t="n">
        <v>14</v>
      </c>
      <c r="B26" s="35" t="inlineStr"/>
      <c r="C26" s="23" t="inlineStr"/>
      <c r="D26" s="100" t="n"/>
      <c r="E26" s="49" t="n"/>
      <c r="F26" s="35" t="inlineStr"/>
      <c r="G26" s="35" t="inlineStr"/>
      <c r="H26" s="68">
        <f>IF(AND(F26&lt;&gt;"",G26&lt;&gt;""),F26*G26,"")</f>
        <v/>
      </c>
      <c r="I26" s="35" t="inlineStr"/>
      <c r="J26" s="68">
        <f>IF(AND(F26&lt;&gt;"",I26&lt;&gt;""),F26*I26,"")</f>
        <v/>
      </c>
      <c r="K26" s="35" t="inlineStr"/>
      <c r="L26" s="23" t="inlineStr"/>
    </row>
    <row r="27" ht="16" customHeight="1">
      <c r="A27" s="79" t="n">
        <v>15</v>
      </c>
      <c r="B27" s="35" t="inlineStr"/>
      <c r="C27" s="11" t="inlineStr"/>
      <c r="D27" s="100" t="n"/>
      <c r="E27" s="49" t="n"/>
      <c r="F27" s="35" t="inlineStr"/>
      <c r="G27" s="35" t="inlineStr"/>
      <c r="H27" s="67">
        <f>IF(AND(F27&lt;&gt;"",G27&lt;&gt;""),F27*G27,"")</f>
        <v/>
      </c>
      <c r="I27" s="35" t="inlineStr"/>
      <c r="J27" s="67">
        <f>IF(AND(F27&lt;&gt;"",I27&lt;&gt;""),F27*I27,"")</f>
        <v/>
      </c>
      <c r="K27" s="35" t="inlineStr"/>
      <c r="L27" s="11" t="inlineStr"/>
    </row>
    <row r="28" ht="16" customHeight="1">
      <c r="A28" s="80" t="n">
        <v>16</v>
      </c>
      <c r="B28" s="35" t="inlineStr"/>
      <c r="C28" s="23" t="inlineStr"/>
      <c r="D28" s="100" t="n"/>
      <c r="E28" s="49" t="n"/>
      <c r="F28" s="35" t="inlineStr"/>
      <c r="G28" s="35" t="inlineStr"/>
      <c r="H28" s="68">
        <f>IF(AND(F28&lt;&gt;"",G28&lt;&gt;""),F28*G28,"")</f>
        <v/>
      </c>
      <c r="I28" s="35" t="inlineStr"/>
      <c r="J28" s="68">
        <f>IF(AND(F28&lt;&gt;"",I28&lt;&gt;""),F28*I28,"")</f>
        <v/>
      </c>
      <c r="K28" s="35" t="inlineStr"/>
      <c r="L28" s="23" t="inlineStr"/>
    </row>
    <row r="29" ht="16" customHeight="1">
      <c r="A29" s="79" t="n">
        <v>17</v>
      </c>
      <c r="B29" s="35" t="inlineStr"/>
      <c r="C29" s="11" t="inlineStr"/>
      <c r="D29" s="100" t="n"/>
      <c r="E29" s="49" t="n"/>
      <c r="F29" s="35" t="inlineStr"/>
      <c r="G29" s="35" t="inlineStr"/>
      <c r="H29" s="67">
        <f>IF(AND(F29&lt;&gt;"",G29&lt;&gt;""),F29*G29,"")</f>
        <v/>
      </c>
      <c r="I29" s="35" t="inlineStr"/>
      <c r="J29" s="67">
        <f>IF(AND(F29&lt;&gt;"",I29&lt;&gt;""),F29*I29,"")</f>
        <v/>
      </c>
      <c r="K29" s="35" t="inlineStr"/>
      <c r="L29" s="11" t="inlineStr"/>
    </row>
    <row r="30" ht="16" customHeight="1">
      <c r="A30" s="80" t="n">
        <v>18</v>
      </c>
      <c r="B30" s="35" t="inlineStr"/>
      <c r="C30" s="23" t="inlineStr"/>
      <c r="D30" s="100" t="n"/>
      <c r="E30" s="49" t="n"/>
      <c r="F30" s="35" t="inlineStr"/>
      <c r="G30" s="35" t="inlineStr"/>
      <c r="H30" s="68">
        <f>IF(AND(F30&lt;&gt;"",G30&lt;&gt;""),F30*G30,"")</f>
        <v/>
      </c>
      <c r="I30" s="35" t="inlineStr"/>
      <c r="J30" s="68">
        <f>IF(AND(F30&lt;&gt;"",I30&lt;&gt;""),F30*I30,"")</f>
        <v/>
      </c>
      <c r="K30" s="35" t="inlineStr"/>
      <c r="L30" s="23" t="inlineStr"/>
    </row>
    <row r="31" ht="16" customHeight="1">
      <c r="A31" s="79" t="n">
        <v>19</v>
      </c>
      <c r="B31" s="35" t="inlineStr"/>
      <c r="C31" s="11" t="inlineStr"/>
      <c r="D31" s="100" t="n"/>
      <c r="E31" s="49" t="n"/>
      <c r="F31" s="35" t="inlineStr"/>
      <c r="G31" s="35" t="inlineStr"/>
      <c r="H31" s="67">
        <f>IF(AND(F31&lt;&gt;"",G31&lt;&gt;""),F31*G31,"")</f>
        <v/>
      </c>
      <c r="I31" s="35" t="inlineStr"/>
      <c r="J31" s="67">
        <f>IF(AND(F31&lt;&gt;"",I31&lt;&gt;""),F31*I31,"")</f>
        <v/>
      </c>
      <c r="K31" s="35" t="inlineStr"/>
      <c r="L31" s="11" t="inlineStr"/>
    </row>
    <row r="32" ht="16" customHeight="1">
      <c r="A32" s="80" t="n">
        <v>20</v>
      </c>
      <c r="B32" s="35" t="inlineStr"/>
      <c r="C32" s="23" t="inlineStr"/>
      <c r="D32" s="100" t="n"/>
      <c r="E32" s="49" t="n"/>
      <c r="F32" s="35" t="inlineStr"/>
      <c r="G32" s="35" t="inlineStr"/>
      <c r="H32" s="68">
        <f>IF(AND(F32&lt;&gt;"",G32&lt;&gt;""),F32*G32,"")</f>
        <v/>
      </c>
      <c r="I32" s="35" t="inlineStr"/>
      <c r="J32" s="68">
        <f>IF(AND(F32&lt;&gt;"",I32&lt;&gt;""),F32*I32,"")</f>
        <v/>
      </c>
      <c r="K32" s="35" t="inlineStr"/>
      <c r="L32" s="23" t="inlineStr"/>
    </row>
    <row r="33" ht="16" customHeight="1">
      <c r="A33" s="79" t="n">
        <v>21</v>
      </c>
      <c r="B33" s="35" t="inlineStr"/>
      <c r="C33" s="11" t="inlineStr"/>
      <c r="D33" s="100" t="n"/>
      <c r="E33" s="49" t="n"/>
      <c r="F33" s="35" t="inlineStr"/>
      <c r="G33" s="35" t="inlineStr"/>
      <c r="H33" s="67">
        <f>IF(AND(F33&lt;&gt;"",G33&lt;&gt;""),F33*G33,"")</f>
        <v/>
      </c>
      <c r="I33" s="35" t="inlineStr"/>
      <c r="J33" s="67">
        <f>IF(AND(F33&lt;&gt;"",I33&lt;&gt;""),F33*I33,"")</f>
        <v/>
      </c>
      <c r="K33" s="35" t="inlineStr"/>
      <c r="L33" s="11" t="inlineStr"/>
    </row>
    <row r="34" ht="16" customHeight="1">
      <c r="A34" s="80" t="n">
        <v>22</v>
      </c>
      <c r="B34" s="35" t="inlineStr"/>
      <c r="C34" s="23" t="inlineStr"/>
      <c r="D34" s="100" t="n"/>
      <c r="E34" s="49" t="n"/>
      <c r="F34" s="35" t="inlineStr"/>
      <c r="G34" s="35" t="inlineStr"/>
      <c r="H34" s="68">
        <f>IF(AND(F34&lt;&gt;"",G34&lt;&gt;""),F34*G34,"")</f>
        <v/>
      </c>
      <c r="I34" s="35" t="inlineStr"/>
      <c r="J34" s="68">
        <f>IF(AND(F34&lt;&gt;"",I34&lt;&gt;""),F34*I34,"")</f>
        <v/>
      </c>
      <c r="K34" s="35" t="inlineStr"/>
      <c r="L34" s="23" t="inlineStr"/>
    </row>
    <row r="35" ht="16" customHeight="1">
      <c r="A35" s="79" t="n">
        <v>23</v>
      </c>
      <c r="B35" s="35" t="inlineStr"/>
      <c r="C35" s="11" t="inlineStr"/>
      <c r="D35" s="100" t="n"/>
      <c r="E35" s="49" t="n"/>
      <c r="F35" s="35" t="inlineStr"/>
      <c r="G35" s="35" t="inlineStr"/>
      <c r="H35" s="67">
        <f>IF(AND(F35&lt;&gt;"",G35&lt;&gt;""),F35*G35,"")</f>
        <v/>
      </c>
      <c r="I35" s="35" t="inlineStr"/>
      <c r="J35" s="67">
        <f>IF(AND(F35&lt;&gt;"",I35&lt;&gt;""),F35*I35,"")</f>
        <v/>
      </c>
      <c r="K35" s="35" t="inlineStr"/>
      <c r="L35" s="11" t="inlineStr"/>
    </row>
    <row r="36" ht="16" customHeight="1">
      <c r="A36" s="80" t="n">
        <v>24</v>
      </c>
      <c r="B36" s="35" t="inlineStr"/>
      <c r="C36" s="23" t="inlineStr"/>
      <c r="D36" s="100" t="n"/>
      <c r="E36" s="49" t="n"/>
      <c r="F36" s="35" t="inlineStr"/>
      <c r="G36" s="35" t="inlineStr"/>
      <c r="H36" s="68">
        <f>IF(AND(F36&lt;&gt;"",G36&lt;&gt;""),F36*G36,"")</f>
        <v/>
      </c>
      <c r="I36" s="35" t="inlineStr"/>
      <c r="J36" s="68">
        <f>IF(AND(F36&lt;&gt;"",I36&lt;&gt;""),F36*I36,"")</f>
        <v/>
      </c>
      <c r="K36" s="35" t="inlineStr"/>
      <c r="L36" s="23" t="inlineStr"/>
    </row>
    <row r="37" ht="16" customHeight="1">
      <c r="A37" s="79" t="n">
        <v>25</v>
      </c>
      <c r="B37" s="35" t="inlineStr"/>
      <c r="C37" s="11" t="inlineStr"/>
      <c r="D37" s="100" t="n"/>
      <c r="E37" s="49" t="n"/>
      <c r="F37" s="35" t="inlineStr"/>
      <c r="G37" s="35" t="inlineStr"/>
      <c r="H37" s="67">
        <f>IF(AND(F37&lt;&gt;"",G37&lt;&gt;""),F37*G37,"")</f>
        <v/>
      </c>
      <c r="I37" s="35" t="inlineStr"/>
      <c r="J37" s="67">
        <f>IF(AND(F37&lt;&gt;"",I37&lt;&gt;""),F37*I37,"")</f>
        <v/>
      </c>
      <c r="K37" s="35" t="inlineStr"/>
      <c r="L37" s="11" t="inlineStr"/>
    </row>
    <row r="38" ht="16" customHeight="1">
      <c r="A38" s="80" t="n">
        <v>26</v>
      </c>
      <c r="B38" s="35" t="inlineStr"/>
      <c r="C38" s="23" t="inlineStr"/>
      <c r="D38" s="100" t="n"/>
      <c r="E38" s="49" t="n"/>
      <c r="F38" s="35" t="inlineStr"/>
      <c r="G38" s="35" t="inlineStr"/>
      <c r="H38" s="68">
        <f>IF(AND(F38&lt;&gt;"",G38&lt;&gt;""),F38*G38,"")</f>
        <v/>
      </c>
      <c r="I38" s="35" t="inlineStr"/>
      <c r="J38" s="68">
        <f>IF(AND(F38&lt;&gt;"",I38&lt;&gt;""),F38*I38,"")</f>
        <v/>
      </c>
      <c r="K38" s="35" t="inlineStr"/>
      <c r="L38" s="23" t="inlineStr"/>
    </row>
    <row r="39" ht="16" customHeight="1">
      <c r="A39" s="79" t="n">
        <v>27</v>
      </c>
      <c r="B39" s="35" t="inlineStr"/>
      <c r="C39" s="11" t="inlineStr"/>
      <c r="D39" s="100" t="n"/>
      <c r="E39" s="49" t="n"/>
      <c r="F39" s="35" t="inlineStr"/>
      <c r="G39" s="35" t="inlineStr"/>
      <c r="H39" s="67">
        <f>IF(AND(F39&lt;&gt;"",G39&lt;&gt;""),F39*G39,"")</f>
        <v/>
      </c>
      <c r="I39" s="35" t="inlineStr"/>
      <c r="J39" s="67">
        <f>IF(AND(F39&lt;&gt;"",I39&lt;&gt;""),F39*I39,"")</f>
        <v/>
      </c>
      <c r="K39" s="35" t="inlineStr"/>
      <c r="L39" s="11" t="inlineStr"/>
    </row>
    <row r="40" ht="16" customHeight="1">
      <c r="A40" s="80" t="n">
        <v>28</v>
      </c>
      <c r="B40" s="35" t="inlineStr"/>
      <c r="C40" s="23" t="inlineStr"/>
      <c r="D40" s="100" t="n"/>
      <c r="E40" s="49" t="n"/>
      <c r="F40" s="35" t="inlineStr"/>
      <c r="G40" s="35" t="inlineStr"/>
      <c r="H40" s="68">
        <f>IF(AND(F40&lt;&gt;"",G40&lt;&gt;""),F40*G40,"")</f>
        <v/>
      </c>
      <c r="I40" s="35" t="inlineStr"/>
      <c r="J40" s="68">
        <f>IF(AND(F40&lt;&gt;"",I40&lt;&gt;""),F40*I40,"")</f>
        <v/>
      </c>
      <c r="K40" s="35" t="inlineStr"/>
      <c r="L40" s="23" t="inlineStr"/>
    </row>
    <row r="41" ht="16" customHeight="1">
      <c r="A41" s="79" t="n">
        <v>29</v>
      </c>
      <c r="B41" s="35" t="inlineStr"/>
      <c r="C41" s="11" t="inlineStr"/>
      <c r="D41" s="100" t="n"/>
      <c r="E41" s="49" t="n"/>
      <c r="F41" s="35" t="inlineStr"/>
      <c r="G41" s="35" t="inlineStr"/>
      <c r="H41" s="67">
        <f>IF(AND(F41&lt;&gt;"",G41&lt;&gt;""),F41*G41,"")</f>
        <v/>
      </c>
      <c r="I41" s="35" t="inlineStr"/>
      <c r="J41" s="67">
        <f>IF(AND(F41&lt;&gt;"",I41&lt;&gt;""),F41*I41,"")</f>
        <v/>
      </c>
      <c r="K41" s="35" t="inlineStr"/>
      <c r="L41" s="11" t="inlineStr"/>
    </row>
    <row r="42" ht="16" customHeight="1">
      <c r="A42" s="80" t="n">
        <v>30</v>
      </c>
      <c r="B42" s="35" t="inlineStr"/>
      <c r="C42" s="23" t="inlineStr"/>
      <c r="D42" s="100" t="n"/>
      <c r="E42" s="49" t="n"/>
      <c r="F42" s="35" t="inlineStr"/>
      <c r="G42" s="35" t="inlineStr"/>
      <c r="H42" s="68">
        <f>IF(AND(F42&lt;&gt;"",G42&lt;&gt;""),F42*G42,"")</f>
        <v/>
      </c>
      <c r="I42" s="35" t="inlineStr"/>
      <c r="J42" s="68">
        <f>IF(AND(F42&lt;&gt;"",I42&lt;&gt;""),F42*I42,"")</f>
        <v/>
      </c>
      <c r="K42" s="35" t="inlineStr"/>
      <c r="L42" s="23" t="inlineStr"/>
    </row>
    <row r="44" ht="20" customHeight="1">
      <c r="A44" s="69" t="inlineStr">
        <is>
          <t>TOTAL VENTES DU JOUR</t>
        </is>
      </c>
      <c r="H44" s="70">
        <f>SUM(H10:H43)</f>
        <v/>
      </c>
      <c r="I44" s="71" t="inlineStr">
        <is>
          <t>USD</t>
        </is>
      </c>
      <c r="J44" s="70">
        <f>SUM(J10:J43)</f>
        <v/>
      </c>
      <c r="K44" s="71" t="inlineStr">
        <is>
          <t>CDF</t>
        </is>
      </c>
      <c r="L44" s="81" t="inlineStr"/>
    </row>
    <row r="46" ht="16" customHeight="1">
      <c r="A46" s="39" t="inlineStr">
        <is>
          <t>Vendeur / Commis caisse
(signature clôture)</t>
        </is>
      </c>
      <c r="B46" s="101" t="n"/>
      <c r="C46" s="101" t="n"/>
      <c r="D46" s="102" t="n"/>
      <c r="E46" s="39" t="inlineStr">
        <is>
          <t>Caissier(ère)
(total vérifié)</t>
        </is>
      </c>
      <c r="F46" s="101" t="n"/>
      <c r="G46" s="101" t="n"/>
      <c r="H46" s="102" t="n"/>
      <c r="I46" s="39" t="inlineStr">
        <is>
          <t>Comptable du site
(visa journalier)</t>
        </is>
      </c>
      <c r="J46" s="101" t="n"/>
      <c r="K46" s="101" t="n"/>
      <c r="L46" s="102" t="n"/>
    </row>
    <row r="47" ht="48" customHeight="1">
      <c r="A47" s="40" t="inlineStr"/>
      <c r="B47" s="100" t="n"/>
      <c r="C47" s="100" t="n"/>
      <c r="D47" s="49" t="n"/>
      <c r="E47" s="40" t="inlineStr"/>
      <c r="F47" s="100" t="n"/>
      <c r="G47" s="100" t="n"/>
      <c r="H47" s="49" t="n"/>
      <c r="I47" s="40" t="inlineStr"/>
      <c r="J47" s="100" t="n"/>
      <c r="K47" s="100" t="n"/>
      <c r="L47" s="49" t="n"/>
    </row>
    <row r="49" ht="13" customHeight="1">
      <c r="A49" s="41" t="inlineStr">
        <is>
          <t>DOC-VT-01 — Registre des Ventes Retail — KAKO Sarl / GHR — KILIMA Holdings</t>
        </is>
      </c>
    </row>
  </sheetData>
  <mergeCells count="82">
    <mergeCell ref="C31:E31"/>
    <mergeCell ref="C40:E40"/>
    <mergeCell ref="C21:E21"/>
    <mergeCell ref="L12:M12"/>
    <mergeCell ref="E47:H47"/>
    <mergeCell ref="C23:E23"/>
    <mergeCell ref="L32"/>
    <mergeCell ref="L13"/>
    <mergeCell ref="C18:E18"/>
    <mergeCell ref="A7:D7"/>
    <mergeCell ref="L15"/>
    <mergeCell ref="C34:E34"/>
    <mergeCell ref="L24"/>
    <mergeCell ref="L18"/>
    <mergeCell ref="C42:E42"/>
    <mergeCell ref="A49:L49"/>
    <mergeCell ref="L26"/>
    <mergeCell ref="A6:L6"/>
    <mergeCell ref="C20:E20"/>
    <mergeCell ref="L41"/>
    <mergeCell ref="C25:E25"/>
    <mergeCell ref="L34"/>
    <mergeCell ref="C22:E22"/>
    <mergeCell ref="A3:L3"/>
    <mergeCell ref="C12:E12"/>
    <mergeCell ref="L27"/>
    <mergeCell ref="E8:L8"/>
    <mergeCell ref="L36"/>
    <mergeCell ref="A9:D9"/>
    <mergeCell ref="L17"/>
    <mergeCell ref="C39:E39"/>
    <mergeCell ref="I46:L46"/>
    <mergeCell ref="L19"/>
    <mergeCell ref="A4:L4"/>
    <mergeCell ref="C32:E32"/>
    <mergeCell ref="L28"/>
    <mergeCell ref="C38:E38"/>
    <mergeCell ref="E9:L9"/>
    <mergeCell ref="L37"/>
    <mergeCell ref="C13:E13"/>
    <mergeCell ref="A2:H2"/>
    <mergeCell ref="C15:E15"/>
    <mergeCell ref="A46:D46"/>
    <mergeCell ref="C24:E24"/>
    <mergeCell ref="L14"/>
    <mergeCell ref="C33:E33"/>
    <mergeCell ref="L23"/>
    <mergeCell ref="L38"/>
    <mergeCell ref="C26:E26"/>
    <mergeCell ref="C35:E35"/>
    <mergeCell ref="C16:E16"/>
    <mergeCell ref="L40"/>
    <mergeCell ref="A8:D8"/>
    <mergeCell ref="C36:E36"/>
    <mergeCell ref="L16"/>
    <mergeCell ref="I2:L2"/>
    <mergeCell ref="C28:E28"/>
    <mergeCell ref="C37:E37"/>
    <mergeCell ref="I47:L47"/>
    <mergeCell ref="C30:E30"/>
    <mergeCell ref="C14:E14"/>
    <mergeCell ref="L30"/>
    <mergeCell ref="L39"/>
    <mergeCell ref="L20"/>
    <mergeCell ref="L29"/>
    <mergeCell ref="E46:H46"/>
    <mergeCell ref="L22"/>
    <mergeCell ref="C41:E41"/>
    <mergeCell ref="L31"/>
    <mergeCell ref="L21"/>
    <mergeCell ref="A44:G44"/>
    <mergeCell ref="C27:E27"/>
    <mergeCell ref="L25"/>
    <mergeCell ref="C17:E17"/>
    <mergeCell ref="C19:E19"/>
    <mergeCell ref="L33"/>
    <mergeCell ref="L42"/>
    <mergeCell ref="E7:L7"/>
    <mergeCell ref="A11:L11"/>
    <mergeCell ref="L35"/>
    <mergeCell ref="C29:E29"/>
    <mergeCell ref="A47:D47"/>
  </mergeCells>
  <pageMargins left="0.5" right="0.5" top="0.6" bottom="0.6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N4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6" customWidth="1" min="3" max="3"/>
    <col width="10" customWidth="1" min="4" max="4"/>
    <col width="12" customWidth="1" min="5" max="5"/>
    <col width="8" customWidth="1" min="6" max="6"/>
    <col width="8" customWidth="1" min="7" max="7"/>
    <col width="10" customWidth="1" min="8" max="8"/>
    <col width="8" customWidth="1" min="9" max="9"/>
    <col width="8" customWidth="1" min="10" max="10"/>
    <col width="10" customWidth="1" min="11" max="11"/>
    <col width="8" customWidth="1" min="12" max="12"/>
  </cols>
  <sheetData>
    <row r="1" ht="8" customHeight="1"/>
    <row r="2" ht="26" customHeight="1">
      <c r="A2" s="30" t="inlineStr">
        <is>
          <t>KILIMA Holdings</t>
        </is>
      </c>
      <c r="I2" s="31" t="inlineStr">
        <is>
          <t>DOC-VT-02</t>
        </is>
      </c>
    </row>
    <row r="3" ht="18" customHeight="1">
      <c r="A3" s="65" t="inlineStr">
        <is>
          <t>REGISTRE D'HÉBERGEMENT</t>
        </is>
      </c>
    </row>
    <row r="4" ht="16" customHeight="1">
      <c r="A4" s="66" t="inlineStr">
        <is>
          <t>Guest House Relax — Tenu par la réceptionniste — Source de facturation hôtel</t>
        </is>
      </c>
    </row>
    <row r="5" ht="6" customHeight="1"/>
    <row r="6" ht="16" customHeight="1">
      <c r="A6" s="19" t="inlineStr">
        <is>
          <t>En-tête</t>
        </is>
      </c>
    </row>
    <row r="7" ht="20" customHeight="1">
      <c r="A7" s="22" t="inlineStr">
        <is>
          <t>Date</t>
        </is>
      </c>
      <c r="B7" s="100" t="n"/>
      <c r="C7" s="100" t="n"/>
      <c r="D7" s="49" t="n"/>
      <c r="E7" s="35" t="inlineStr"/>
      <c r="F7" s="100" t="n"/>
      <c r="G7" s="100" t="n"/>
      <c r="H7" s="100" t="n"/>
      <c r="I7" s="100" t="n"/>
      <c r="J7" s="100" t="n"/>
      <c r="K7" s="100" t="n"/>
      <c r="L7" s="49" t="n"/>
    </row>
    <row r="8" ht="20" customHeight="1">
      <c r="A8" s="22" t="inlineStr">
        <is>
          <t>Réceptionniste</t>
        </is>
      </c>
      <c r="B8" s="100" t="n"/>
      <c r="C8" s="100" t="n"/>
      <c r="D8" s="49" t="n"/>
      <c r="E8" s="35" t="inlineStr"/>
      <c r="F8" s="100" t="n"/>
      <c r="G8" s="100" t="n"/>
      <c r="H8" s="100" t="n"/>
      <c r="I8" s="100" t="n"/>
      <c r="J8" s="100" t="n"/>
      <c r="K8" s="100" t="n"/>
      <c r="L8" s="49" t="n"/>
    </row>
    <row r="10" ht="16" customHeight="1">
      <c r="A10" s="19" t="inlineStr">
        <is>
          <t>Clients en séjour (arrivées &amp; présents)</t>
        </is>
      </c>
    </row>
    <row r="11" ht="28" customHeight="1">
      <c r="A11" s="39" t="inlineStr">
        <is>
          <t>N° chambre</t>
        </is>
      </c>
      <c r="B11" s="39" t="inlineStr">
        <is>
          <t>Nom client</t>
        </is>
      </c>
      <c r="C11" s="102" t="n"/>
      <c r="D11" s="39" t="inlineStr">
        <is>
          <t>Entreprise
(si applicable)</t>
        </is>
      </c>
      <c r="E11" s="102" t="n"/>
      <c r="F11" s="39" t="inlineStr">
        <is>
          <t>Date
arrivée</t>
        </is>
      </c>
      <c r="G11" s="39" t="inlineStr">
        <is>
          <t>Date départ
prévue</t>
        </is>
      </c>
      <c r="H11" s="39" t="inlineStr">
        <is>
          <t>Tarif
nuit USD</t>
        </is>
      </c>
      <c r="I11" s="39" t="inlineStr">
        <is>
          <t>Nb nuits
à ce jour</t>
        </is>
      </c>
      <c r="J11" s="39" t="inlineStr">
        <is>
          <t>Total
provisoire</t>
        </is>
      </c>
      <c r="K11" s="39" t="inlineStr">
        <is>
          <t>Mode
paiement</t>
        </is>
      </c>
      <c r="L11" s="39" t="inlineStr">
        <is>
          <t>N° pièce
d'identité</t>
        </is>
      </c>
      <c r="M11" s="39" t="inlineStr">
        <is>
          <t>Statut
client</t>
        </is>
      </c>
      <c r="N11" s="39" t="inlineStr">
        <is>
          <t>N° reçu
manuel</t>
        </is>
      </c>
    </row>
    <row r="12" ht="20" customHeight="1">
      <c r="A12" s="44" t="inlineStr"/>
      <c r="B12" s="11" t="inlineStr"/>
      <c r="C12" s="49" t="n"/>
      <c r="D12" s="11" t="inlineStr"/>
      <c r="E12" s="49" t="n"/>
      <c r="F12" s="11" t="inlineStr"/>
      <c r="G12" s="35" t="inlineStr"/>
      <c r="H12" s="35" t="inlineStr"/>
      <c r="I12" s="67">
        <f>IF(AND(G12&lt;&gt;"",H12&lt;&gt;""),G12*H12,"")</f>
        <v/>
      </c>
      <c r="J12" s="11" t="inlineStr"/>
      <c r="K12" s="11" t="inlineStr"/>
      <c r="L12" s="11" t="inlineStr"/>
      <c r="M12" s="11" t="inlineStr"/>
    </row>
    <row r="13" ht="20" customHeight="1">
      <c r="A13" s="44" t="inlineStr"/>
      <c r="B13" s="23" t="inlineStr"/>
      <c r="C13" s="49" t="n"/>
      <c r="D13" s="23" t="inlineStr"/>
      <c r="E13" s="49" t="n"/>
      <c r="F13" s="23" t="inlineStr"/>
      <c r="G13" s="35" t="inlineStr"/>
      <c r="H13" s="35" t="inlineStr"/>
      <c r="I13" s="68">
        <f>IF(AND(G13&lt;&gt;"",H13&lt;&gt;""),G13*H13,"")</f>
        <v/>
      </c>
      <c r="J13" s="23" t="inlineStr"/>
      <c r="K13" s="23" t="inlineStr"/>
      <c r="L13" s="23" t="inlineStr"/>
      <c r="M13" s="23" t="inlineStr"/>
    </row>
    <row r="14" ht="20" customHeight="1">
      <c r="A14" s="44" t="inlineStr"/>
      <c r="B14" s="11" t="inlineStr"/>
      <c r="C14" s="49" t="n"/>
      <c r="D14" s="11" t="inlineStr"/>
      <c r="E14" s="49" t="n"/>
      <c r="F14" s="11" t="inlineStr"/>
      <c r="G14" s="35" t="inlineStr"/>
      <c r="H14" s="35" t="inlineStr"/>
      <c r="I14" s="67">
        <f>IF(AND(G14&lt;&gt;"",H14&lt;&gt;""),G14*H14,"")</f>
        <v/>
      </c>
      <c r="J14" s="11" t="inlineStr"/>
      <c r="K14" s="11" t="inlineStr"/>
      <c r="L14" s="11" t="inlineStr"/>
      <c r="M14" s="11" t="inlineStr"/>
    </row>
    <row r="15" ht="20" customHeight="1">
      <c r="A15" s="44" t="inlineStr"/>
      <c r="B15" s="23" t="inlineStr"/>
      <c r="C15" s="49" t="n"/>
      <c r="D15" s="23" t="inlineStr"/>
      <c r="E15" s="49" t="n"/>
      <c r="F15" s="23" t="inlineStr"/>
      <c r="G15" s="35" t="inlineStr"/>
      <c r="H15" s="35" t="inlineStr"/>
      <c r="I15" s="68">
        <f>IF(AND(G15&lt;&gt;"",H15&lt;&gt;""),G15*H15,"")</f>
        <v/>
      </c>
      <c r="J15" s="23" t="inlineStr"/>
      <c r="K15" s="23" t="inlineStr"/>
      <c r="L15" s="23" t="inlineStr"/>
      <c r="M15" s="23" t="inlineStr"/>
    </row>
    <row r="16" ht="20" customHeight="1">
      <c r="A16" s="44" t="inlineStr"/>
      <c r="B16" s="11" t="inlineStr"/>
      <c r="C16" s="49" t="n"/>
      <c r="D16" s="11" t="inlineStr"/>
      <c r="E16" s="49" t="n"/>
      <c r="F16" s="11" t="inlineStr"/>
      <c r="G16" s="35" t="inlineStr"/>
      <c r="H16" s="35" t="inlineStr"/>
      <c r="I16" s="67">
        <f>IF(AND(G16&lt;&gt;"",H16&lt;&gt;""),G16*H16,"")</f>
        <v/>
      </c>
      <c r="J16" s="11" t="inlineStr"/>
      <c r="K16" s="11" t="inlineStr"/>
      <c r="L16" s="11" t="inlineStr"/>
      <c r="M16" s="11" t="inlineStr"/>
    </row>
    <row r="17" ht="20" customHeight="1">
      <c r="A17" s="44" t="inlineStr"/>
      <c r="B17" s="23" t="inlineStr"/>
      <c r="C17" s="49" t="n"/>
      <c r="D17" s="23" t="inlineStr"/>
      <c r="E17" s="49" t="n"/>
      <c r="F17" s="23" t="inlineStr"/>
      <c r="G17" s="35" t="inlineStr"/>
      <c r="H17" s="35" t="inlineStr"/>
      <c r="I17" s="68">
        <f>IF(AND(G17&lt;&gt;"",H17&lt;&gt;""),G17*H17,"")</f>
        <v/>
      </c>
      <c r="J17" s="23" t="inlineStr"/>
      <c r="K17" s="23" t="inlineStr"/>
      <c r="L17" s="23" t="inlineStr"/>
      <c r="M17" s="23" t="inlineStr"/>
    </row>
    <row r="18" ht="20" customHeight="1">
      <c r="A18" s="44" t="inlineStr"/>
      <c r="B18" s="11" t="inlineStr"/>
      <c r="C18" s="49" t="n"/>
      <c r="D18" s="11" t="inlineStr"/>
      <c r="E18" s="49" t="n"/>
      <c r="F18" s="11" t="inlineStr"/>
      <c r="G18" s="35" t="inlineStr"/>
      <c r="H18" s="35" t="inlineStr"/>
      <c r="I18" s="67">
        <f>IF(AND(G18&lt;&gt;"",H18&lt;&gt;""),G18*H18,"")</f>
        <v/>
      </c>
      <c r="J18" s="11" t="inlineStr"/>
      <c r="K18" s="11" t="inlineStr"/>
      <c r="L18" s="11" t="inlineStr"/>
      <c r="M18" s="11" t="inlineStr"/>
    </row>
    <row r="19" ht="20" customHeight="1">
      <c r="A19" s="44" t="inlineStr"/>
      <c r="B19" s="23" t="inlineStr"/>
      <c r="C19" s="49" t="n"/>
      <c r="D19" s="23" t="inlineStr"/>
      <c r="E19" s="49" t="n"/>
      <c r="F19" s="23" t="inlineStr"/>
      <c r="G19" s="35" t="inlineStr"/>
      <c r="H19" s="35" t="inlineStr"/>
      <c r="I19" s="68">
        <f>IF(AND(G19&lt;&gt;"",H19&lt;&gt;""),G19*H19,"")</f>
        <v/>
      </c>
      <c r="J19" s="23" t="inlineStr"/>
      <c r="K19" s="23" t="inlineStr"/>
      <c r="L19" s="23" t="inlineStr"/>
      <c r="M19" s="23" t="inlineStr"/>
    </row>
    <row r="20" ht="20" customHeight="1">
      <c r="A20" s="44" t="inlineStr"/>
      <c r="B20" s="11" t="inlineStr"/>
      <c r="C20" s="49" t="n"/>
      <c r="D20" s="11" t="inlineStr"/>
      <c r="E20" s="49" t="n"/>
      <c r="F20" s="11" t="inlineStr"/>
      <c r="G20" s="35" t="inlineStr"/>
      <c r="H20" s="35" t="inlineStr"/>
      <c r="I20" s="67">
        <f>IF(AND(G20&lt;&gt;"",H20&lt;&gt;""),G20*H20,"")</f>
        <v/>
      </c>
      <c r="J20" s="11" t="inlineStr"/>
      <c r="K20" s="11" t="inlineStr"/>
      <c r="L20" s="11" t="inlineStr"/>
      <c r="M20" s="11" t="inlineStr"/>
    </row>
    <row r="21" ht="20" customHeight="1">
      <c r="A21" s="44" t="inlineStr"/>
      <c r="B21" s="23" t="inlineStr"/>
      <c r="C21" s="49" t="n"/>
      <c r="D21" s="23" t="inlineStr"/>
      <c r="E21" s="49" t="n"/>
      <c r="F21" s="23" t="inlineStr"/>
      <c r="G21" s="35" t="inlineStr"/>
      <c r="H21" s="35" t="inlineStr"/>
      <c r="I21" s="68">
        <f>IF(AND(G21&lt;&gt;"",H21&lt;&gt;""),G21*H21,"")</f>
        <v/>
      </c>
      <c r="J21" s="23" t="inlineStr"/>
      <c r="K21" s="23" t="inlineStr"/>
      <c r="L21" s="23" t="inlineStr"/>
      <c r="M21" s="23" t="inlineStr"/>
    </row>
    <row r="22" ht="20" customHeight="1">
      <c r="A22" s="44" t="inlineStr"/>
      <c r="B22" s="11" t="inlineStr"/>
      <c r="C22" s="49" t="n"/>
      <c r="D22" s="11" t="inlineStr"/>
      <c r="E22" s="49" t="n"/>
      <c r="F22" s="11" t="inlineStr"/>
      <c r="G22" s="35" t="inlineStr"/>
      <c r="H22" s="35" t="inlineStr"/>
      <c r="I22" s="67">
        <f>IF(AND(G22&lt;&gt;"",H22&lt;&gt;""),G22*H22,"")</f>
        <v/>
      </c>
      <c r="J22" s="11" t="inlineStr"/>
      <c r="K22" s="11" t="inlineStr"/>
      <c r="L22" s="11" t="inlineStr"/>
      <c r="M22" s="11" t="inlineStr"/>
    </row>
    <row r="23" ht="20" customHeight="1">
      <c r="A23" s="44" t="inlineStr"/>
      <c r="B23" s="23" t="inlineStr"/>
      <c r="C23" s="49" t="n"/>
      <c r="D23" s="23" t="inlineStr"/>
      <c r="E23" s="49" t="n"/>
      <c r="F23" s="23" t="inlineStr"/>
      <c r="G23" s="35" t="inlineStr"/>
      <c r="H23" s="35" t="inlineStr"/>
      <c r="I23" s="68">
        <f>IF(AND(G23&lt;&gt;"",H23&lt;&gt;""),G23*H23,"")</f>
        <v/>
      </c>
      <c r="J23" s="23" t="inlineStr"/>
      <c r="K23" s="23" t="inlineStr"/>
      <c r="L23" s="23" t="inlineStr"/>
      <c r="M23" s="23" t="inlineStr"/>
    </row>
    <row r="24" ht="20" customHeight="1">
      <c r="A24" s="44" t="inlineStr"/>
      <c r="B24" s="11" t="inlineStr"/>
      <c r="C24" s="49" t="n"/>
      <c r="D24" s="11" t="inlineStr"/>
      <c r="E24" s="49" t="n"/>
      <c r="F24" s="11" t="inlineStr"/>
      <c r="G24" s="35" t="inlineStr"/>
      <c r="H24" s="35" t="inlineStr"/>
      <c r="I24" s="67">
        <f>IF(AND(G24&lt;&gt;"",H24&lt;&gt;""),G24*H24,"")</f>
        <v/>
      </c>
      <c r="J24" s="11" t="inlineStr"/>
      <c r="K24" s="11" t="inlineStr"/>
      <c r="L24" s="11" t="inlineStr"/>
      <c r="M24" s="11" t="inlineStr"/>
    </row>
    <row r="25" ht="20" customHeight="1">
      <c r="A25" s="44" t="inlineStr"/>
      <c r="B25" s="23" t="inlineStr"/>
      <c r="C25" s="49" t="n"/>
      <c r="D25" s="23" t="inlineStr"/>
      <c r="E25" s="49" t="n"/>
      <c r="F25" s="23" t="inlineStr"/>
      <c r="G25" s="35" t="inlineStr"/>
      <c r="H25" s="35" t="inlineStr"/>
      <c r="I25" s="68">
        <f>IF(AND(G25&lt;&gt;"",H25&lt;&gt;""),G25*H25,"")</f>
        <v/>
      </c>
      <c r="J25" s="23" t="inlineStr"/>
      <c r="K25" s="23" t="inlineStr"/>
      <c r="L25" s="23" t="inlineStr"/>
      <c r="M25" s="23" t="inlineStr"/>
    </row>
    <row r="26" ht="20" customHeight="1">
      <c r="A26" s="44" t="inlineStr"/>
      <c r="B26" s="11" t="inlineStr"/>
      <c r="C26" s="49" t="n"/>
      <c r="D26" s="11" t="inlineStr"/>
      <c r="E26" s="49" t="n"/>
      <c r="F26" s="11" t="inlineStr"/>
      <c r="G26" s="35" t="inlineStr"/>
      <c r="H26" s="35" t="inlineStr"/>
      <c r="I26" s="67">
        <f>IF(AND(G26&lt;&gt;"",H26&lt;&gt;""),G26*H26,"")</f>
        <v/>
      </c>
      <c r="J26" s="11" t="inlineStr"/>
      <c r="K26" s="11" t="inlineStr"/>
      <c r="L26" s="11" t="inlineStr"/>
      <c r="M26" s="11" t="inlineStr"/>
    </row>
    <row r="28" ht="16" customHeight="1">
      <c r="A28" s="25" t="inlineStr">
        <is>
          <t>Départs du jour — remise à Raphael T pour régularisation DGI</t>
        </is>
      </c>
    </row>
    <row r="29" ht="20" customHeight="1">
      <c r="A29" s="58" t="inlineStr">
        <is>
          <t>N° chambre</t>
        </is>
      </c>
      <c r="B29" s="58" t="inlineStr">
        <is>
          <t>Nom client</t>
        </is>
      </c>
      <c r="C29" s="105" t="n"/>
      <c r="D29" s="58" t="inlineStr">
        <is>
          <t>Date arrivée</t>
        </is>
      </c>
      <c r="E29" s="105" t="n"/>
      <c r="F29" s="58" t="inlineStr">
        <is>
          <t>Date départ effective</t>
        </is>
      </c>
      <c r="G29" s="105" t="n"/>
      <c r="H29" s="58" t="inlineStr">
        <is>
          <t>Nb nuits</t>
        </is>
      </c>
      <c r="I29" s="58" t="inlineStr">
        <is>
          <t>Montant USD</t>
        </is>
      </c>
      <c r="J29" s="58" t="inlineStr">
        <is>
          <t>Montant CDF</t>
        </is>
      </c>
      <c r="K29" s="58" t="inlineStr">
        <is>
          <t>N° reçu manuel</t>
        </is>
      </c>
      <c r="L29" s="58" t="inlineStr">
        <is>
          <t>Facturé DGI ?</t>
        </is>
      </c>
    </row>
    <row r="30" ht="18" customHeight="1">
      <c r="A30" s="35" t="inlineStr"/>
      <c r="B30" s="11" t="inlineStr"/>
      <c r="C30" s="49" t="n"/>
      <c r="D30" s="11" t="inlineStr"/>
      <c r="E30" s="49" t="n"/>
      <c r="F30" s="11" t="inlineStr"/>
      <c r="G30" s="49" t="n"/>
      <c r="H30" s="11" t="inlineStr"/>
      <c r="I30" s="35" t="inlineStr"/>
      <c r="J30" s="35" t="inlineStr"/>
      <c r="K30" s="35" t="inlineStr"/>
      <c r="L30" s="11" t="inlineStr"/>
    </row>
    <row r="31" ht="18" customHeight="1">
      <c r="A31" s="35" t="inlineStr"/>
      <c r="B31" s="40" t="inlineStr"/>
      <c r="C31" s="49" t="n"/>
      <c r="D31" s="40" t="inlineStr"/>
      <c r="E31" s="49" t="n"/>
      <c r="F31" s="40" t="inlineStr"/>
      <c r="G31" s="49" t="n"/>
      <c r="H31" s="40" t="inlineStr"/>
      <c r="I31" s="35" t="inlineStr"/>
      <c r="J31" s="35" t="inlineStr"/>
      <c r="K31" s="35" t="inlineStr"/>
      <c r="L31" s="40" t="inlineStr"/>
    </row>
    <row r="32" ht="18" customHeight="1">
      <c r="A32" s="35" t="inlineStr"/>
      <c r="B32" s="11" t="inlineStr"/>
      <c r="C32" s="49" t="n"/>
      <c r="D32" s="11" t="inlineStr"/>
      <c r="E32" s="49" t="n"/>
      <c r="F32" s="11" t="inlineStr"/>
      <c r="G32" s="49" t="n"/>
      <c r="H32" s="11" t="inlineStr"/>
      <c r="I32" s="35" t="inlineStr"/>
      <c r="J32" s="35" t="inlineStr"/>
      <c r="K32" s="35" t="inlineStr"/>
      <c r="L32" s="11" t="inlineStr"/>
    </row>
    <row r="33" ht="18" customHeight="1">
      <c r="A33" s="35" t="inlineStr"/>
      <c r="B33" s="40" t="inlineStr"/>
      <c r="C33" s="49" t="n"/>
      <c r="D33" s="40" t="inlineStr"/>
      <c r="E33" s="49" t="n"/>
      <c r="F33" s="40" t="inlineStr"/>
      <c r="G33" s="49" t="n"/>
      <c r="H33" s="40" t="inlineStr"/>
      <c r="I33" s="35" t="inlineStr"/>
      <c r="J33" s="35" t="inlineStr"/>
      <c r="K33" s="35" t="inlineStr"/>
      <c r="L33" s="40" t="inlineStr"/>
    </row>
    <row r="34" ht="18" customHeight="1">
      <c r="A34" s="35" t="inlineStr"/>
      <c r="B34" s="11" t="inlineStr"/>
      <c r="C34" s="49" t="n"/>
      <c r="D34" s="11" t="inlineStr"/>
      <c r="E34" s="49" t="n"/>
      <c r="F34" s="11" t="inlineStr"/>
      <c r="G34" s="49" t="n"/>
      <c r="H34" s="11" t="inlineStr"/>
      <c r="I34" s="35" t="inlineStr"/>
      <c r="J34" s="35" t="inlineStr"/>
      <c r="K34" s="35" t="inlineStr"/>
      <c r="L34" s="11" t="inlineStr"/>
    </row>
    <row r="35" ht="18" customHeight="1">
      <c r="A35" s="35" t="inlineStr"/>
      <c r="B35" s="40" t="inlineStr"/>
      <c r="C35" s="49" t="n"/>
      <c r="D35" s="40" t="inlineStr"/>
      <c r="E35" s="49" t="n"/>
      <c r="F35" s="40" t="inlineStr"/>
      <c r="G35" s="49" t="n"/>
      <c r="H35" s="40" t="inlineStr"/>
      <c r="I35" s="35" t="inlineStr"/>
      <c r="J35" s="35" t="inlineStr"/>
      <c r="K35" s="35" t="inlineStr"/>
      <c r="L35" s="40" t="inlineStr"/>
    </row>
    <row r="36" ht="18" customHeight="1">
      <c r="A36" s="35" t="inlineStr"/>
      <c r="B36" s="11" t="inlineStr"/>
      <c r="C36" s="49" t="n"/>
      <c r="D36" s="11" t="inlineStr"/>
      <c r="E36" s="49" t="n"/>
      <c r="F36" s="11" t="inlineStr"/>
      <c r="G36" s="49" t="n"/>
      <c r="H36" s="11" t="inlineStr"/>
      <c r="I36" s="35" t="inlineStr"/>
      <c r="J36" s="35" t="inlineStr"/>
      <c r="K36" s="35" t="inlineStr"/>
      <c r="L36" s="11" t="inlineStr"/>
    </row>
    <row r="37" ht="18" customHeight="1">
      <c r="A37" s="35" t="inlineStr"/>
      <c r="B37" s="40" t="inlineStr"/>
      <c r="C37" s="49" t="n"/>
      <c r="D37" s="40" t="inlineStr"/>
      <c r="E37" s="49" t="n"/>
      <c r="F37" s="40" t="inlineStr"/>
      <c r="G37" s="49" t="n"/>
      <c r="H37" s="40" t="inlineStr"/>
      <c r="I37" s="35" t="inlineStr"/>
      <c r="J37" s="35" t="inlineStr"/>
      <c r="K37" s="35" t="inlineStr"/>
      <c r="L37" s="40" t="inlineStr"/>
    </row>
    <row r="40" ht="14" customHeight="1">
      <c r="A40" s="47" t="inlineStr">
        <is>
          <t>Ce registre est remis à Raphael T chaque matin pour régularisation DGI (PROC-GHR-03). Il doit être complet et signé avant remise.</t>
        </is>
      </c>
    </row>
    <row r="42" ht="16" customHeight="1">
      <c r="A42" s="39" t="inlineStr">
        <is>
          <t>Réceptionniste
(signature fin de service)</t>
        </is>
      </c>
      <c r="B42" s="101" t="n"/>
      <c r="C42" s="101" t="n"/>
      <c r="D42" s="102" t="n"/>
      <c r="E42" s="39" t="inlineStr">
        <is>
          <t>Raphael T — Comptable
(accusé de réception matin)</t>
        </is>
      </c>
      <c r="F42" s="101" t="n"/>
      <c r="G42" s="101" t="n"/>
      <c r="H42" s="102" t="n"/>
      <c r="I42" s="39" t="inlineStr">
        <is>
          <t>DFI
(information hebdo)</t>
        </is>
      </c>
      <c r="J42" s="101" t="n"/>
      <c r="K42" s="101" t="n"/>
      <c r="L42" s="102" t="n"/>
    </row>
    <row r="43" ht="48" customHeight="1">
      <c r="A43" s="40" t="inlineStr"/>
      <c r="B43" s="100" t="n"/>
      <c r="C43" s="100" t="n"/>
      <c r="D43" s="49" t="n"/>
      <c r="E43" s="40" t="inlineStr"/>
      <c r="F43" s="100" t="n"/>
      <c r="G43" s="100" t="n"/>
      <c r="H43" s="49" t="n"/>
      <c r="I43" s="40" t="inlineStr"/>
      <c r="J43" s="100" t="n"/>
      <c r="K43" s="100" t="n"/>
      <c r="L43" s="49" t="n"/>
    </row>
    <row r="45" ht="13" customHeight="1">
      <c r="A45" s="41" t="inlineStr">
        <is>
          <t>DOC-VT-02 — Registre d'Hébergement — Guest House Relax — KILIMA Holdings</t>
        </is>
      </c>
    </row>
  </sheetData>
  <mergeCells count="78">
    <mergeCell ref="D20:E20"/>
    <mergeCell ref="F29:G29"/>
    <mergeCell ref="B22:C22"/>
    <mergeCell ref="D22:E22"/>
    <mergeCell ref="B31:C31"/>
    <mergeCell ref="D36:E36"/>
    <mergeCell ref="D31:E31"/>
    <mergeCell ref="B12:C12"/>
    <mergeCell ref="B21:C21"/>
    <mergeCell ref="D13:E13"/>
    <mergeCell ref="A40:M40"/>
    <mergeCell ref="B14:C14"/>
    <mergeCell ref="B13:C13"/>
    <mergeCell ref="A7:D7"/>
    <mergeCell ref="B24:C24"/>
    <mergeCell ref="D24:E24"/>
    <mergeCell ref="B33:C33"/>
    <mergeCell ref="D33:E33"/>
    <mergeCell ref="A6:L6"/>
    <mergeCell ref="B32:C32"/>
    <mergeCell ref="B26:C26"/>
    <mergeCell ref="A42:D42"/>
    <mergeCell ref="D26:E26"/>
    <mergeCell ref="B35:C35"/>
    <mergeCell ref="D35:E35"/>
    <mergeCell ref="B16:C16"/>
    <mergeCell ref="B25:C25"/>
    <mergeCell ref="D19:E19"/>
    <mergeCell ref="D34:E34"/>
    <mergeCell ref="F34:G34"/>
    <mergeCell ref="B18:C18"/>
    <mergeCell ref="A3:L3"/>
    <mergeCell ref="E8:L8"/>
    <mergeCell ref="F30:G30"/>
    <mergeCell ref="B11:C11"/>
    <mergeCell ref="D11:E11"/>
    <mergeCell ref="F33:G33"/>
    <mergeCell ref="A4:L4"/>
    <mergeCell ref="B29:C29"/>
    <mergeCell ref="A2:H2"/>
    <mergeCell ref="B37:C37"/>
    <mergeCell ref="D37:E37"/>
    <mergeCell ref="F31:G31"/>
    <mergeCell ref="B15:C15"/>
    <mergeCell ref="D15:E15"/>
    <mergeCell ref="D29:E29"/>
    <mergeCell ref="I43:L43"/>
    <mergeCell ref="D23:E23"/>
    <mergeCell ref="I42:L42"/>
    <mergeCell ref="A8:D8"/>
    <mergeCell ref="F36:G36"/>
    <mergeCell ref="I2:L2"/>
    <mergeCell ref="B17:C17"/>
    <mergeCell ref="D17:E17"/>
    <mergeCell ref="A45:M45"/>
    <mergeCell ref="B19:C19"/>
    <mergeCell ref="B34:C34"/>
    <mergeCell ref="D12:E12"/>
    <mergeCell ref="D25:E25"/>
    <mergeCell ref="B30:C30"/>
    <mergeCell ref="D30:E30"/>
    <mergeCell ref="B20:C20"/>
    <mergeCell ref="D14:E14"/>
    <mergeCell ref="A43:D43"/>
    <mergeCell ref="D21:E21"/>
    <mergeCell ref="E43:H43"/>
    <mergeCell ref="B23:C23"/>
    <mergeCell ref="D32:E32"/>
    <mergeCell ref="F32:G32"/>
    <mergeCell ref="E42:H42"/>
    <mergeCell ref="F35:G35"/>
    <mergeCell ref="D16:E16"/>
    <mergeCell ref="A10:L10"/>
    <mergeCell ref="A28:L28"/>
    <mergeCell ref="D18:E18"/>
    <mergeCell ref="F37:G37"/>
    <mergeCell ref="E7:L7"/>
    <mergeCell ref="B36:C36"/>
  </mergeCells>
  <pageMargins left="0.5" right="0.5" top="0.6" bottom="0.6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M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6" customWidth="1" min="3" max="3"/>
    <col width="12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/>
    <row r="2" ht="26" customHeight="1">
      <c r="A2" s="30" t="inlineStr">
        <is>
          <t>KILIMA Holdings</t>
        </is>
      </c>
      <c r="I2" s="31" t="inlineStr">
        <is>
          <t>DOC-VT-03</t>
        </is>
      </c>
    </row>
    <row r="3" ht="18" customHeight="1">
      <c r="A3" s="56" t="inlineStr">
        <is>
          <t>REGISTRE DES REÇUS MANUELS</t>
        </is>
      </c>
    </row>
    <row r="4" ht="16" customHeight="1">
      <c r="A4" s="57" t="inlineStr">
        <is>
          <t>Guest House Relax — Tenu par la réceptionniste — Remis à Raphael T chaque matin</t>
        </is>
      </c>
    </row>
    <row r="5" ht="6" customHeight="1"/>
    <row r="6" ht="16" customHeight="1">
      <c r="A6" s="25" t="inlineStr">
        <is>
          <t>En-tête</t>
        </is>
      </c>
    </row>
    <row r="7" ht="20" customHeight="1">
      <c r="A7" s="38" t="inlineStr">
        <is>
          <t>Date</t>
        </is>
      </c>
      <c r="B7" s="100" t="n"/>
      <c r="C7" s="100" t="n"/>
      <c r="D7" s="49" t="n"/>
      <c r="E7" s="35" t="inlineStr"/>
      <c r="F7" s="100" t="n"/>
      <c r="G7" s="100" t="n"/>
      <c r="H7" s="100" t="n"/>
      <c r="I7" s="100" t="n"/>
      <c r="J7" s="100" t="n"/>
      <c r="K7" s="100" t="n"/>
      <c r="L7" s="49" t="n"/>
    </row>
    <row r="8" ht="20" customHeight="1">
      <c r="A8" s="38" t="inlineStr">
        <is>
          <t>Réceptionniste</t>
        </is>
      </c>
      <c r="B8" s="100" t="n"/>
      <c r="C8" s="100" t="n"/>
      <c r="D8" s="49" t="n"/>
      <c r="E8" s="35" t="inlineStr"/>
      <c r="F8" s="100" t="n"/>
      <c r="G8" s="100" t="n"/>
      <c r="H8" s="100" t="n"/>
      <c r="I8" s="100" t="n"/>
      <c r="J8" s="100" t="n"/>
      <c r="K8" s="100" t="n"/>
      <c r="L8" s="49" t="n"/>
    </row>
    <row r="10" ht="16" customHeight="1">
      <c r="A10" s="25" t="inlineStr">
        <is>
          <t>Liste des reçus émis dans la journée / soirée</t>
        </is>
      </c>
    </row>
    <row r="11" ht="22" customHeight="1">
      <c r="A11" s="58" t="inlineStr">
        <is>
          <t>N° reçu</t>
        </is>
      </c>
      <c r="B11" s="58" t="inlineStr">
        <is>
          <t>Heure émission</t>
        </is>
      </c>
      <c r="C11" s="58" t="inlineStr">
        <is>
          <t>Nom client</t>
        </is>
      </c>
      <c r="D11" s="105" t="n"/>
      <c r="E11" s="58" t="inlineStr">
        <is>
          <t>N° chambre</t>
        </is>
      </c>
      <c r="F11" s="58" t="inlineStr">
        <is>
          <t>Nature prestation</t>
        </is>
      </c>
      <c r="G11" s="105" t="n"/>
      <c r="H11" s="58" t="inlineStr">
        <is>
          <t>Montant USD</t>
        </is>
      </c>
      <c r="I11" s="58" t="inlineStr">
        <is>
          <t>Montant CDF</t>
        </is>
      </c>
      <c r="J11" s="58" t="inlineStr">
        <is>
          <t>Mode paiement</t>
        </is>
      </c>
      <c r="K11" s="58" t="inlineStr">
        <is>
          <t>Annulé ?</t>
        </is>
      </c>
      <c r="L11" s="58" t="inlineStr">
        <is>
          <t>Régularisé DGI ?</t>
        </is>
      </c>
      <c r="M11" s="58" t="inlineStr">
        <is>
          <t>N° facture DGI</t>
        </is>
      </c>
    </row>
    <row r="12" ht="18" customHeight="1">
      <c r="A12" s="35" t="inlineStr"/>
      <c r="B12" s="11" t="inlineStr"/>
      <c r="C12" s="11" t="inlineStr"/>
      <c r="D12" s="49" t="n"/>
      <c r="E12" s="11" t="inlineStr"/>
      <c r="F12" s="35" t="inlineStr"/>
      <c r="G12" s="49" t="n"/>
      <c r="H12" s="35" t="inlineStr"/>
      <c r="I12" s="11" t="inlineStr"/>
      <c r="J12" s="11" t="inlineStr"/>
      <c r="K12" s="11" t="inlineStr"/>
      <c r="L12" s="11" t="inlineStr"/>
      <c r="M12" s="11" t="inlineStr"/>
    </row>
    <row r="13" ht="18" customHeight="1">
      <c r="A13" s="35" t="inlineStr"/>
      <c r="B13" s="28" t="inlineStr"/>
      <c r="C13" s="28" t="inlineStr"/>
      <c r="D13" s="49" t="n"/>
      <c r="E13" s="28" t="inlineStr"/>
      <c r="F13" s="35" t="inlineStr"/>
      <c r="G13" s="49" t="n"/>
      <c r="H13" s="35" t="inlineStr"/>
      <c r="I13" s="28" t="inlineStr"/>
      <c r="J13" s="28" t="inlineStr"/>
      <c r="K13" s="28" t="inlineStr"/>
      <c r="L13" s="28" t="inlineStr"/>
      <c r="M13" s="28" t="inlineStr"/>
    </row>
    <row r="14" ht="18" customHeight="1">
      <c r="A14" s="35" t="inlineStr"/>
      <c r="B14" s="11" t="inlineStr"/>
      <c r="C14" s="11" t="inlineStr"/>
      <c r="D14" s="49" t="n"/>
      <c r="E14" s="11" t="inlineStr"/>
      <c r="F14" s="35" t="inlineStr"/>
      <c r="G14" s="49" t="n"/>
      <c r="H14" s="35" t="inlineStr"/>
      <c r="I14" s="11" t="inlineStr"/>
      <c r="J14" s="11" t="inlineStr"/>
      <c r="K14" s="11" t="inlineStr"/>
      <c r="L14" s="11" t="inlineStr"/>
      <c r="M14" s="11" t="inlineStr"/>
    </row>
    <row r="15" ht="18" customHeight="1">
      <c r="A15" s="35" t="inlineStr"/>
      <c r="B15" s="28" t="inlineStr"/>
      <c r="C15" s="28" t="inlineStr"/>
      <c r="D15" s="49" t="n"/>
      <c r="E15" s="28" t="inlineStr"/>
      <c r="F15" s="35" t="inlineStr"/>
      <c r="G15" s="49" t="n"/>
      <c r="H15" s="35" t="inlineStr"/>
      <c r="I15" s="28" t="inlineStr"/>
      <c r="J15" s="28" t="inlineStr"/>
      <c r="K15" s="28" t="inlineStr"/>
      <c r="L15" s="28" t="inlineStr"/>
      <c r="M15" s="28" t="inlineStr"/>
    </row>
    <row r="16" ht="18" customHeight="1">
      <c r="A16" s="35" t="inlineStr"/>
      <c r="B16" s="11" t="inlineStr"/>
      <c r="C16" s="11" t="inlineStr"/>
      <c r="D16" s="49" t="n"/>
      <c r="E16" s="11" t="inlineStr"/>
      <c r="F16" s="35" t="inlineStr"/>
      <c r="G16" s="49" t="n"/>
      <c r="H16" s="35" t="inlineStr"/>
      <c r="I16" s="11" t="inlineStr"/>
      <c r="J16" s="11" t="inlineStr"/>
      <c r="K16" s="11" t="inlineStr"/>
      <c r="L16" s="11" t="inlineStr"/>
      <c r="M16" s="11" t="inlineStr"/>
    </row>
    <row r="17" ht="18" customHeight="1">
      <c r="A17" s="35" t="inlineStr"/>
      <c r="B17" s="28" t="inlineStr"/>
      <c r="C17" s="28" t="inlineStr"/>
      <c r="D17" s="49" t="n"/>
      <c r="E17" s="28" t="inlineStr"/>
      <c r="F17" s="35" t="inlineStr"/>
      <c r="G17" s="49" t="n"/>
      <c r="H17" s="35" t="inlineStr"/>
      <c r="I17" s="28" t="inlineStr"/>
      <c r="J17" s="28" t="inlineStr"/>
      <c r="K17" s="28" t="inlineStr"/>
      <c r="L17" s="28" t="inlineStr"/>
      <c r="M17" s="28" t="inlineStr"/>
    </row>
    <row r="18" ht="18" customHeight="1">
      <c r="A18" s="35" t="inlineStr"/>
      <c r="B18" s="11" t="inlineStr"/>
      <c r="C18" s="11" t="inlineStr"/>
      <c r="D18" s="49" t="n"/>
      <c r="E18" s="11" t="inlineStr"/>
      <c r="F18" s="35" t="inlineStr"/>
      <c r="G18" s="49" t="n"/>
      <c r="H18" s="35" t="inlineStr"/>
      <c r="I18" s="11" t="inlineStr"/>
      <c r="J18" s="11" t="inlineStr"/>
      <c r="K18" s="11" t="inlineStr"/>
      <c r="L18" s="11" t="inlineStr"/>
      <c r="M18" s="11" t="inlineStr"/>
    </row>
    <row r="19" ht="18" customHeight="1">
      <c r="A19" s="35" t="inlineStr"/>
      <c r="B19" s="28" t="inlineStr"/>
      <c r="C19" s="28" t="inlineStr"/>
      <c r="D19" s="49" t="n"/>
      <c r="E19" s="28" t="inlineStr"/>
      <c r="F19" s="35" t="inlineStr"/>
      <c r="G19" s="49" t="n"/>
      <c r="H19" s="35" t="inlineStr"/>
      <c r="I19" s="28" t="inlineStr"/>
      <c r="J19" s="28" t="inlineStr"/>
      <c r="K19" s="28" t="inlineStr"/>
      <c r="L19" s="28" t="inlineStr"/>
      <c r="M19" s="28" t="inlineStr"/>
    </row>
    <row r="20" ht="18" customHeight="1">
      <c r="A20" s="35" t="inlineStr"/>
      <c r="B20" s="11" t="inlineStr"/>
      <c r="C20" s="11" t="inlineStr"/>
      <c r="D20" s="49" t="n"/>
      <c r="E20" s="11" t="inlineStr"/>
      <c r="F20" s="35" t="inlineStr"/>
      <c r="G20" s="49" t="n"/>
      <c r="H20" s="35" t="inlineStr"/>
      <c r="I20" s="11" t="inlineStr"/>
      <c r="J20" s="11" t="inlineStr"/>
      <c r="K20" s="11" t="inlineStr"/>
      <c r="L20" s="11" t="inlineStr"/>
      <c r="M20" s="11" t="inlineStr"/>
    </row>
    <row r="21" ht="18" customHeight="1">
      <c r="A21" s="35" t="inlineStr"/>
      <c r="B21" s="28" t="inlineStr"/>
      <c r="C21" s="28" t="inlineStr"/>
      <c r="D21" s="49" t="n"/>
      <c r="E21" s="28" t="inlineStr"/>
      <c r="F21" s="35" t="inlineStr"/>
      <c r="G21" s="49" t="n"/>
      <c r="H21" s="35" t="inlineStr"/>
      <c r="I21" s="28" t="inlineStr"/>
      <c r="J21" s="28" t="inlineStr"/>
      <c r="K21" s="28" t="inlineStr"/>
      <c r="L21" s="28" t="inlineStr"/>
      <c r="M21" s="28" t="inlineStr"/>
    </row>
    <row r="22" ht="18" customHeight="1">
      <c r="A22" s="35" t="inlineStr"/>
      <c r="B22" s="11" t="inlineStr"/>
      <c r="C22" s="11" t="inlineStr"/>
      <c r="D22" s="49" t="n"/>
      <c r="E22" s="11" t="inlineStr"/>
      <c r="F22" s="35" t="inlineStr"/>
      <c r="G22" s="49" t="n"/>
      <c r="H22" s="35" t="inlineStr"/>
      <c r="I22" s="11" t="inlineStr"/>
      <c r="J22" s="11" t="inlineStr"/>
      <c r="K22" s="11" t="inlineStr"/>
      <c r="L22" s="11" t="inlineStr"/>
      <c r="M22" s="11" t="inlineStr"/>
    </row>
    <row r="23" ht="18" customHeight="1">
      <c r="A23" s="35" t="inlineStr"/>
      <c r="B23" s="28" t="inlineStr"/>
      <c r="C23" s="28" t="inlineStr"/>
      <c r="D23" s="49" t="n"/>
      <c r="E23" s="28" t="inlineStr"/>
      <c r="F23" s="35" t="inlineStr"/>
      <c r="G23" s="49" t="n"/>
      <c r="H23" s="35" t="inlineStr"/>
      <c r="I23" s="28" t="inlineStr"/>
      <c r="J23" s="28" t="inlineStr"/>
      <c r="K23" s="28" t="inlineStr"/>
      <c r="L23" s="28" t="inlineStr"/>
      <c r="M23" s="28" t="inlineStr"/>
    </row>
    <row r="24" ht="18" customHeight="1">
      <c r="A24" s="35" t="inlineStr"/>
      <c r="B24" s="11" t="inlineStr"/>
      <c r="C24" s="11" t="inlineStr"/>
      <c r="D24" s="49" t="n"/>
      <c r="E24" s="11" t="inlineStr"/>
      <c r="F24" s="35" t="inlineStr"/>
      <c r="G24" s="49" t="n"/>
      <c r="H24" s="35" t="inlineStr"/>
      <c r="I24" s="11" t="inlineStr"/>
      <c r="J24" s="11" t="inlineStr"/>
      <c r="K24" s="11" t="inlineStr"/>
      <c r="L24" s="11" t="inlineStr"/>
      <c r="M24" s="11" t="inlineStr"/>
    </row>
    <row r="25" ht="18" customHeight="1">
      <c r="A25" s="35" t="inlineStr"/>
      <c r="B25" s="28" t="inlineStr"/>
      <c r="C25" s="28" t="inlineStr"/>
      <c r="D25" s="49" t="n"/>
      <c r="E25" s="28" t="inlineStr"/>
      <c r="F25" s="35" t="inlineStr"/>
      <c r="G25" s="49" t="n"/>
      <c r="H25" s="35" t="inlineStr"/>
      <c r="I25" s="28" t="inlineStr"/>
      <c r="J25" s="28" t="inlineStr"/>
      <c r="K25" s="28" t="inlineStr"/>
      <c r="L25" s="28" t="inlineStr"/>
      <c r="M25" s="28" t="inlineStr"/>
    </row>
    <row r="26" ht="18" customHeight="1">
      <c r="A26" s="35" t="inlineStr"/>
      <c r="B26" s="11" t="inlineStr"/>
      <c r="C26" s="11" t="inlineStr"/>
      <c r="D26" s="49" t="n"/>
      <c r="E26" s="11" t="inlineStr"/>
      <c r="F26" s="35" t="inlineStr"/>
      <c r="G26" s="49" t="n"/>
      <c r="H26" s="35" t="inlineStr"/>
      <c r="I26" s="11" t="inlineStr"/>
      <c r="J26" s="11" t="inlineStr"/>
      <c r="K26" s="11" t="inlineStr"/>
      <c r="L26" s="11" t="inlineStr"/>
      <c r="M26" s="11" t="inlineStr"/>
    </row>
    <row r="27" ht="18" customHeight="1">
      <c r="A27" s="35" t="inlineStr"/>
      <c r="B27" s="28" t="inlineStr"/>
      <c r="C27" s="28" t="inlineStr"/>
      <c r="D27" s="49" t="n"/>
      <c r="E27" s="28" t="inlineStr"/>
      <c r="F27" s="35" t="inlineStr"/>
      <c r="G27" s="49" t="n"/>
      <c r="H27" s="35" t="inlineStr"/>
      <c r="I27" s="28" t="inlineStr"/>
      <c r="J27" s="28" t="inlineStr"/>
      <c r="K27" s="28" t="inlineStr"/>
      <c r="L27" s="28" t="inlineStr"/>
      <c r="M27" s="28" t="inlineStr"/>
    </row>
    <row r="28" ht="18" customHeight="1">
      <c r="A28" s="35" t="inlineStr"/>
      <c r="B28" s="11" t="inlineStr"/>
      <c r="C28" s="11" t="inlineStr"/>
      <c r="D28" s="49" t="n"/>
      <c r="E28" s="11" t="inlineStr"/>
      <c r="F28" s="35" t="inlineStr"/>
      <c r="G28" s="49" t="n"/>
      <c r="H28" s="35" t="inlineStr"/>
      <c r="I28" s="11" t="inlineStr"/>
      <c r="J28" s="11" t="inlineStr"/>
      <c r="K28" s="11" t="inlineStr"/>
      <c r="L28" s="11" t="inlineStr"/>
      <c r="M28" s="11" t="inlineStr"/>
    </row>
    <row r="29" ht="18" customHeight="1">
      <c r="A29" s="35" t="inlineStr"/>
      <c r="B29" s="28" t="inlineStr"/>
      <c r="C29" s="28" t="inlineStr"/>
      <c r="D29" s="49" t="n"/>
      <c r="E29" s="28" t="inlineStr"/>
      <c r="F29" s="35" t="inlineStr"/>
      <c r="G29" s="49" t="n"/>
      <c r="H29" s="35" t="inlineStr"/>
      <c r="I29" s="28" t="inlineStr"/>
      <c r="J29" s="28" t="inlineStr"/>
      <c r="K29" s="28" t="inlineStr"/>
      <c r="L29" s="28" t="inlineStr"/>
      <c r="M29" s="28" t="inlineStr"/>
    </row>
    <row r="30" ht="18" customHeight="1">
      <c r="A30" s="35" t="inlineStr"/>
      <c r="B30" s="11" t="inlineStr"/>
      <c r="C30" s="11" t="inlineStr"/>
      <c r="D30" s="49" t="n"/>
      <c r="E30" s="11" t="inlineStr"/>
      <c r="F30" s="35" t="inlineStr"/>
      <c r="G30" s="49" t="n"/>
      <c r="H30" s="35" t="inlineStr"/>
      <c r="I30" s="11" t="inlineStr"/>
      <c r="J30" s="11" t="inlineStr"/>
      <c r="K30" s="11" t="inlineStr"/>
      <c r="L30" s="11" t="inlineStr"/>
      <c r="M30" s="11" t="inlineStr"/>
    </row>
    <row r="31" ht="18" customHeight="1">
      <c r="A31" s="35" t="inlineStr"/>
      <c r="B31" s="28" t="inlineStr"/>
      <c r="C31" s="28" t="inlineStr"/>
      <c r="D31" s="49" t="n"/>
      <c r="E31" s="28" t="inlineStr"/>
      <c r="F31" s="35" t="inlineStr"/>
      <c r="G31" s="49" t="n"/>
      <c r="H31" s="35" t="inlineStr"/>
      <c r="I31" s="28" t="inlineStr"/>
      <c r="J31" s="28" t="inlineStr"/>
      <c r="K31" s="28" t="inlineStr"/>
      <c r="L31" s="28" t="inlineStr"/>
      <c r="M31" s="28" t="inlineStr"/>
    </row>
    <row r="33" ht="20" customHeight="1">
      <c r="A33" s="82" t="inlineStr">
        <is>
          <t>TOTAL</t>
        </is>
      </c>
      <c r="H33" s="83">
        <f>SUM(H10:H32)</f>
        <v/>
      </c>
      <c r="I33" s="71" t="inlineStr">
        <is>
          <t>USD</t>
        </is>
      </c>
      <c r="J33" s="83">
        <f>SUM(I10:I32)</f>
        <v/>
      </c>
      <c r="K33" s="105" t="n"/>
      <c r="L33" s="71" t="inlineStr">
        <is>
          <t>CDF</t>
        </is>
      </c>
      <c r="M33" s="81" t="inlineStr"/>
    </row>
    <row r="35" ht="14" customHeight="1">
      <c r="A35" s="84" t="inlineStr">
        <is>
          <t>Règle : Tout reçu annulé doit rester dans le registre, barré et signé. Jamais détruit.</t>
        </is>
      </c>
    </row>
    <row r="37" ht="16" customHeight="1">
      <c r="A37" s="39" t="inlineStr">
        <is>
          <t>Réceptionniste
(signature + heure remise)</t>
        </is>
      </c>
      <c r="B37" s="101" t="n"/>
      <c r="C37" s="101" t="n"/>
      <c r="D37" s="102" t="n"/>
      <c r="E37" s="39" t="inlineStr">
        <is>
          <t>Raphael T — Comptable
(accusé réception matin)</t>
        </is>
      </c>
      <c r="F37" s="101" t="n"/>
      <c r="G37" s="101" t="n"/>
      <c r="H37" s="102" t="n"/>
      <c r="I37" s="39" t="inlineStr">
        <is>
          <t>Fonds remis à agent GHR
(montant USD + CDF)</t>
        </is>
      </c>
      <c r="J37" s="101" t="n"/>
      <c r="K37" s="101" t="n"/>
      <c r="L37" s="102" t="n"/>
    </row>
    <row r="38" ht="48" customHeight="1">
      <c r="A38" s="40" t="inlineStr"/>
      <c r="B38" s="100" t="n"/>
      <c r="C38" s="100" t="n"/>
      <c r="D38" s="49" t="n"/>
      <c r="E38" s="40" t="inlineStr"/>
      <c r="F38" s="100" t="n"/>
      <c r="G38" s="100" t="n"/>
      <c r="H38" s="49" t="n"/>
      <c r="I38" s="40" t="inlineStr"/>
      <c r="J38" s="100" t="n"/>
      <c r="K38" s="100" t="n"/>
      <c r="L38" s="49" t="n"/>
    </row>
    <row r="40" ht="13" customHeight="1">
      <c r="A40" s="41" t="inlineStr">
        <is>
          <t>DOC-VT-03 — Registre des Reçus Manuels — Guest House Relax — KILIMA Holdings</t>
        </is>
      </c>
    </row>
  </sheetData>
  <mergeCells count="62">
    <mergeCell ref="F11:G11"/>
    <mergeCell ref="A8:D8"/>
    <mergeCell ref="C24:D24"/>
    <mergeCell ref="C30:D30"/>
    <mergeCell ref="F29:G29"/>
    <mergeCell ref="C15:D15"/>
    <mergeCell ref="F16:G16"/>
    <mergeCell ref="F19:G19"/>
    <mergeCell ref="F25:G25"/>
    <mergeCell ref="A35:M35"/>
    <mergeCell ref="A38:D38"/>
    <mergeCell ref="C14:D14"/>
    <mergeCell ref="I38:L38"/>
    <mergeCell ref="A3:L3"/>
    <mergeCell ref="C26:D26"/>
    <mergeCell ref="E8:L8"/>
    <mergeCell ref="E37:H37"/>
    <mergeCell ref="C20:D20"/>
    <mergeCell ref="F21:G21"/>
    <mergeCell ref="F12:G12"/>
    <mergeCell ref="F24:G24"/>
    <mergeCell ref="C29:D29"/>
    <mergeCell ref="C16:D16"/>
    <mergeCell ref="F15:G15"/>
    <mergeCell ref="F30:G30"/>
    <mergeCell ref="C25:D25"/>
    <mergeCell ref="F20:G20"/>
    <mergeCell ref="F18:G18"/>
    <mergeCell ref="A40:M40"/>
    <mergeCell ref="C22:D22"/>
    <mergeCell ref="I2:L2"/>
    <mergeCell ref="F26:G26"/>
    <mergeCell ref="C31:D31"/>
    <mergeCell ref="F17:G17"/>
    <mergeCell ref="A4:L4"/>
    <mergeCell ref="C12:D12"/>
    <mergeCell ref="A10:L10"/>
    <mergeCell ref="C21:D21"/>
    <mergeCell ref="C11:D11"/>
    <mergeCell ref="A2:H2"/>
    <mergeCell ref="C27:D27"/>
    <mergeCell ref="F23:G23"/>
    <mergeCell ref="E38:H38"/>
    <mergeCell ref="F31:G31"/>
    <mergeCell ref="A7:D7"/>
    <mergeCell ref="F22:G22"/>
    <mergeCell ref="F28:G28"/>
    <mergeCell ref="F13:G13"/>
    <mergeCell ref="C17:D17"/>
    <mergeCell ref="C23:D23"/>
    <mergeCell ref="F27:G27"/>
    <mergeCell ref="I37:L37"/>
    <mergeCell ref="A37:D37"/>
    <mergeCell ref="E7:L7"/>
    <mergeCell ref="C19:D19"/>
    <mergeCell ref="C28:D28"/>
    <mergeCell ref="A6:L6"/>
    <mergeCell ref="J33:K33"/>
    <mergeCell ref="C13:D13"/>
    <mergeCell ref="F14:G14"/>
    <mergeCell ref="C18:D18"/>
    <mergeCell ref="A33:G33"/>
  </mergeCells>
  <pageMargins left="0.5" right="0.5" top="0.6" bottom="0.6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M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0" customWidth="1" min="12" max="12"/>
  </cols>
  <sheetData>
    <row r="1" ht="8" customHeight="1"/>
    <row r="2" ht="26" customHeight="1">
      <c r="A2" s="30" t="inlineStr">
        <is>
          <t>KILIMA Holdings</t>
        </is>
      </c>
      <c r="I2" s="31" t="inlineStr">
        <is>
          <t>DOC-VT-04</t>
        </is>
      </c>
    </row>
    <row r="3" ht="18" customHeight="1">
      <c r="A3" s="65" t="inlineStr">
        <is>
          <t>TABLEAU DE SUIVI DES COMMANDES</t>
        </is>
      </c>
    </row>
    <row r="4" ht="16" customHeight="1">
      <c r="A4" s="66" t="inlineStr">
        <is>
          <t>DAKAM Sarl — Circuit A (vente directe) — Tenu par Jacques MALIGIJA</t>
        </is>
      </c>
    </row>
    <row r="5" ht="6" customHeight="1"/>
    <row r="6" ht="16" customHeight="1">
      <c r="A6" s="19" t="inlineStr">
        <is>
          <t>En-tête</t>
        </is>
      </c>
    </row>
    <row r="7" ht="20" customHeight="1">
      <c r="A7" s="22" t="inlineStr">
        <is>
          <t>Mois concerné</t>
        </is>
      </c>
      <c r="B7" s="100" t="n"/>
      <c r="C7" s="100" t="n"/>
      <c r="D7" s="49" t="n"/>
      <c r="E7" s="35" t="inlineStr"/>
      <c r="F7" s="100" t="n"/>
      <c r="G7" s="100" t="n"/>
      <c r="H7" s="100" t="n"/>
      <c r="I7" s="100" t="n"/>
      <c r="J7" s="100" t="n"/>
      <c r="K7" s="100" t="n"/>
      <c r="L7" s="49" t="n"/>
    </row>
    <row r="8" ht="20" customHeight="1">
      <c r="A8" s="22" t="inlineStr">
        <is>
          <t>Tenu par (Jacques MALIGIJA)</t>
        </is>
      </c>
      <c r="B8" s="100" t="n"/>
      <c r="C8" s="100" t="n"/>
      <c r="D8" s="49" t="n"/>
      <c r="E8" s="35" t="inlineStr"/>
      <c r="F8" s="100" t="n"/>
      <c r="G8" s="100" t="n"/>
      <c r="H8" s="100" t="n"/>
      <c r="I8" s="100" t="n"/>
      <c r="J8" s="100" t="n"/>
      <c r="K8" s="100" t="n"/>
      <c r="L8" s="49" t="n"/>
    </row>
    <row r="10" ht="16" customHeight="1">
      <c r="A10" s="19" t="inlineStr">
        <is>
          <t>Suivi des commandes Circuit A</t>
        </is>
      </c>
    </row>
    <row r="11" ht="28" customHeight="1">
      <c r="A11" s="39" t="inlineStr">
        <is>
          <t>N° commande
GCK (unique)</t>
        </is>
      </c>
      <c r="B11" s="39" t="inlineStr">
        <is>
          <t>Client</t>
        </is>
      </c>
      <c r="C11" s="102" t="n"/>
      <c r="D11" s="39" t="inlineStr">
        <is>
          <t>Date commande</t>
        </is>
      </c>
      <c r="E11" s="39" t="inlineStr">
        <is>
          <t>Type ciment</t>
        </is>
      </c>
      <c r="F11" s="102" t="n"/>
      <c r="G11" s="39" t="inlineStr">
        <is>
          <t>Qté commandée</t>
        </is>
      </c>
      <c r="H11" s="39" t="inlineStr">
        <is>
          <t>Qté livrée</t>
        </is>
      </c>
      <c r="I11" s="39" t="inlineStr">
        <is>
          <t>Date livraison</t>
        </is>
      </c>
      <c r="J11" s="39" t="inlineStr">
        <is>
          <t>N° BL signé</t>
        </is>
      </c>
      <c r="K11" s="39" t="inlineStr">
        <is>
          <t>Facture DAKAM N°</t>
        </is>
      </c>
      <c r="L11" s="39" t="inlineStr">
        <is>
          <t>Montant USD</t>
        </is>
      </c>
      <c r="M11" s="39" t="inlineStr">
        <is>
          <t>Statut paiement</t>
        </is>
      </c>
    </row>
    <row r="12" ht="20" customHeight="1">
      <c r="A12" s="44" t="inlineStr"/>
      <c r="B12" s="11" t="inlineStr"/>
      <c r="C12" s="49" t="n"/>
      <c r="D12" s="11" t="inlineStr"/>
      <c r="E12" s="11" t="inlineStr"/>
      <c r="F12" s="49" t="n"/>
      <c r="G12" s="11" t="inlineStr"/>
      <c r="H12" s="11" t="inlineStr"/>
      <c r="I12" s="11" t="inlineStr"/>
      <c r="J12" s="11" t="inlineStr"/>
      <c r="K12" s="11" t="inlineStr"/>
      <c r="L12" s="11" t="inlineStr"/>
      <c r="M12" s="11" t="inlineStr"/>
    </row>
    <row r="13" ht="20" customHeight="1">
      <c r="A13" s="44" t="inlineStr"/>
      <c r="B13" s="23" t="inlineStr"/>
      <c r="C13" s="49" t="n"/>
      <c r="D13" s="23" t="inlineStr"/>
      <c r="E13" s="23" t="inlineStr"/>
      <c r="F13" s="49" t="n"/>
      <c r="G13" s="23" t="inlineStr"/>
      <c r="H13" s="23" t="inlineStr"/>
      <c r="I13" s="23" t="inlineStr"/>
      <c r="J13" s="23" t="inlineStr"/>
      <c r="K13" s="23" t="inlineStr"/>
      <c r="L13" s="23" t="inlineStr"/>
      <c r="M13" s="23" t="inlineStr"/>
    </row>
    <row r="14" ht="20" customHeight="1">
      <c r="A14" s="44" t="inlineStr"/>
      <c r="B14" s="11" t="inlineStr"/>
      <c r="C14" s="49" t="n"/>
      <c r="D14" s="11" t="inlineStr"/>
      <c r="E14" s="11" t="inlineStr"/>
      <c r="F14" s="49" t="n"/>
      <c r="G14" s="11" t="inlineStr"/>
      <c r="H14" s="11" t="inlineStr"/>
      <c r="I14" s="11" t="inlineStr"/>
      <c r="J14" s="11" t="inlineStr"/>
      <c r="K14" s="11" t="inlineStr"/>
      <c r="L14" s="11" t="inlineStr"/>
      <c r="M14" s="11" t="inlineStr"/>
    </row>
    <row r="15" ht="20" customHeight="1">
      <c r="A15" s="44" t="inlineStr"/>
      <c r="B15" s="23" t="inlineStr"/>
      <c r="C15" s="49" t="n"/>
      <c r="D15" s="23" t="inlineStr"/>
      <c r="E15" s="23" t="inlineStr"/>
      <c r="F15" s="49" t="n"/>
      <c r="G15" s="23" t="inlineStr"/>
      <c r="H15" s="23" t="inlineStr"/>
      <c r="I15" s="23" t="inlineStr"/>
      <c r="J15" s="23" t="inlineStr"/>
      <c r="K15" s="23" t="inlineStr"/>
      <c r="L15" s="23" t="inlineStr"/>
      <c r="M15" s="23" t="inlineStr"/>
    </row>
    <row r="16" ht="20" customHeight="1">
      <c r="A16" s="44" t="inlineStr"/>
      <c r="B16" s="11" t="inlineStr"/>
      <c r="C16" s="49" t="n"/>
      <c r="D16" s="11" t="inlineStr"/>
      <c r="E16" s="11" t="inlineStr"/>
      <c r="F16" s="49" t="n"/>
      <c r="G16" s="11" t="inlineStr"/>
      <c r="H16" s="11" t="inlineStr"/>
      <c r="I16" s="11" t="inlineStr"/>
      <c r="J16" s="11" t="inlineStr"/>
      <c r="K16" s="11" t="inlineStr"/>
      <c r="L16" s="11" t="inlineStr"/>
      <c r="M16" s="11" t="inlineStr"/>
    </row>
    <row r="17" ht="20" customHeight="1">
      <c r="A17" s="44" t="inlineStr"/>
      <c r="B17" s="23" t="inlineStr"/>
      <c r="C17" s="49" t="n"/>
      <c r="D17" s="23" t="inlineStr"/>
      <c r="E17" s="23" t="inlineStr"/>
      <c r="F17" s="49" t="n"/>
      <c r="G17" s="23" t="inlineStr"/>
      <c r="H17" s="23" t="inlineStr"/>
      <c r="I17" s="23" t="inlineStr"/>
      <c r="J17" s="23" t="inlineStr"/>
      <c r="K17" s="23" t="inlineStr"/>
      <c r="L17" s="23" t="inlineStr"/>
      <c r="M17" s="23" t="inlineStr"/>
    </row>
    <row r="18" ht="20" customHeight="1">
      <c r="A18" s="44" t="inlineStr"/>
      <c r="B18" s="11" t="inlineStr"/>
      <c r="C18" s="49" t="n"/>
      <c r="D18" s="11" t="inlineStr"/>
      <c r="E18" s="11" t="inlineStr"/>
      <c r="F18" s="49" t="n"/>
      <c r="G18" s="11" t="inlineStr"/>
      <c r="H18" s="11" t="inlineStr"/>
      <c r="I18" s="11" t="inlineStr"/>
      <c r="J18" s="11" t="inlineStr"/>
      <c r="K18" s="11" t="inlineStr"/>
      <c r="L18" s="11" t="inlineStr"/>
      <c r="M18" s="11" t="inlineStr"/>
    </row>
    <row r="19" ht="20" customHeight="1">
      <c r="A19" s="44" t="inlineStr"/>
      <c r="B19" s="23" t="inlineStr"/>
      <c r="C19" s="49" t="n"/>
      <c r="D19" s="23" t="inlineStr"/>
      <c r="E19" s="23" t="inlineStr"/>
      <c r="F19" s="49" t="n"/>
      <c r="G19" s="23" t="inlineStr"/>
      <c r="H19" s="23" t="inlineStr"/>
      <c r="I19" s="23" t="inlineStr"/>
      <c r="J19" s="23" t="inlineStr"/>
      <c r="K19" s="23" t="inlineStr"/>
      <c r="L19" s="23" t="inlineStr"/>
      <c r="M19" s="23" t="inlineStr"/>
    </row>
    <row r="20" ht="20" customHeight="1">
      <c r="A20" s="44" t="inlineStr"/>
      <c r="B20" s="11" t="inlineStr"/>
      <c r="C20" s="49" t="n"/>
      <c r="D20" s="11" t="inlineStr"/>
      <c r="E20" s="11" t="inlineStr"/>
      <c r="F20" s="49" t="n"/>
      <c r="G20" s="11" t="inlineStr"/>
      <c r="H20" s="11" t="inlineStr"/>
      <c r="I20" s="11" t="inlineStr"/>
      <c r="J20" s="11" t="inlineStr"/>
      <c r="K20" s="11" t="inlineStr"/>
      <c r="L20" s="11" t="inlineStr"/>
      <c r="M20" s="11" t="inlineStr"/>
    </row>
    <row r="21" ht="20" customHeight="1">
      <c r="A21" s="44" t="inlineStr"/>
      <c r="B21" s="23" t="inlineStr"/>
      <c r="C21" s="49" t="n"/>
      <c r="D21" s="23" t="inlineStr"/>
      <c r="E21" s="23" t="inlineStr"/>
      <c r="F21" s="49" t="n"/>
      <c r="G21" s="23" t="inlineStr"/>
      <c r="H21" s="23" t="inlineStr"/>
      <c r="I21" s="23" t="inlineStr"/>
      <c r="J21" s="23" t="inlineStr"/>
      <c r="K21" s="23" t="inlineStr"/>
      <c r="L21" s="23" t="inlineStr"/>
      <c r="M21" s="23" t="inlineStr"/>
    </row>
    <row r="22" ht="20" customHeight="1">
      <c r="A22" s="44" t="inlineStr"/>
      <c r="B22" s="11" t="inlineStr"/>
      <c r="C22" s="49" t="n"/>
      <c r="D22" s="11" t="inlineStr"/>
      <c r="E22" s="11" t="inlineStr"/>
      <c r="F22" s="49" t="n"/>
      <c r="G22" s="11" t="inlineStr"/>
      <c r="H22" s="11" t="inlineStr"/>
      <c r="I22" s="11" t="inlineStr"/>
      <c r="J22" s="11" t="inlineStr"/>
      <c r="K22" s="11" t="inlineStr"/>
      <c r="L22" s="11" t="inlineStr"/>
      <c r="M22" s="11" t="inlineStr"/>
    </row>
    <row r="23" ht="20" customHeight="1">
      <c r="A23" s="44" t="inlineStr"/>
      <c r="B23" s="23" t="inlineStr"/>
      <c r="C23" s="49" t="n"/>
      <c r="D23" s="23" t="inlineStr"/>
      <c r="E23" s="23" t="inlineStr"/>
      <c r="F23" s="49" t="n"/>
      <c r="G23" s="23" t="inlineStr"/>
      <c r="H23" s="23" t="inlineStr"/>
      <c r="I23" s="23" t="inlineStr"/>
      <c r="J23" s="23" t="inlineStr"/>
      <c r="K23" s="23" t="inlineStr"/>
      <c r="L23" s="23" t="inlineStr"/>
      <c r="M23" s="23" t="inlineStr"/>
    </row>
    <row r="24" ht="20" customHeight="1">
      <c r="A24" s="44" t="inlineStr"/>
      <c r="B24" s="11" t="inlineStr"/>
      <c r="C24" s="49" t="n"/>
      <c r="D24" s="11" t="inlineStr"/>
      <c r="E24" s="11" t="inlineStr"/>
      <c r="F24" s="49" t="n"/>
      <c r="G24" s="11" t="inlineStr"/>
      <c r="H24" s="11" t="inlineStr"/>
      <c r="I24" s="11" t="inlineStr"/>
      <c r="J24" s="11" t="inlineStr"/>
      <c r="K24" s="11" t="inlineStr"/>
      <c r="L24" s="11" t="inlineStr"/>
      <c r="M24" s="11" t="inlineStr"/>
    </row>
    <row r="25" ht="20" customHeight="1">
      <c r="A25" s="44" t="inlineStr"/>
      <c r="B25" s="23" t="inlineStr"/>
      <c r="C25" s="49" t="n"/>
      <c r="D25" s="23" t="inlineStr"/>
      <c r="E25" s="23" t="inlineStr"/>
      <c r="F25" s="49" t="n"/>
      <c r="G25" s="23" t="inlineStr"/>
      <c r="H25" s="23" t="inlineStr"/>
      <c r="I25" s="23" t="inlineStr"/>
      <c r="J25" s="23" t="inlineStr"/>
      <c r="K25" s="23" t="inlineStr"/>
      <c r="L25" s="23" t="inlineStr"/>
      <c r="M25" s="23" t="inlineStr"/>
    </row>
    <row r="26" ht="20" customHeight="1">
      <c r="A26" s="44" t="inlineStr"/>
      <c r="B26" s="11" t="inlineStr"/>
      <c r="C26" s="49" t="n"/>
      <c r="D26" s="11" t="inlineStr"/>
      <c r="E26" s="11" t="inlineStr"/>
      <c r="F26" s="49" t="n"/>
      <c r="G26" s="11" t="inlineStr"/>
      <c r="H26" s="11" t="inlineStr"/>
      <c r="I26" s="11" t="inlineStr"/>
      <c r="J26" s="11" t="inlineStr"/>
      <c r="K26" s="11" t="inlineStr"/>
      <c r="L26" s="11" t="inlineStr"/>
      <c r="M26" s="11" t="inlineStr"/>
    </row>
    <row r="27" ht="20" customHeight="1">
      <c r="A27" s="44" t="inlineStr"/>
      <c r="B27" s="23" t="inlineStr"/>
      <c r="C27" s="49" t="n"/>
      <c r="D27" s="23" t="inlineStr"/>
      <c r="E27" s="23" t="inlineStr"/>
      <c r="F27" s="49" t="n"/>
      <c r="G27" s="23" t="inlineStr"/>
      <c r="H27" s="23" t="inlineStr"/>
      <c r="I27" s="23" t="inlineStr"/>
      <c r="J27" s="23" t="inlineStr"/>
      <c r="K27" s="23" t="inlineStr"/>
      <c r="L27" s="23" t="inlineStr"/>
      <c r="M27" s="23" t="inlineStr"/>
    </row>
    <row r="28" ht="20" customHeight="1">
      <c r="A28" s="44" t="inlineStr"/>
      <c r="B28" s="11" t="inlineStr"/>
      <c r="C28" s="49" t="n"/>
      <c r="D28" s="11" t="inlineStr"/>
      <c r="E28" s="11" t="inlineStr"/>
      <c r="F28" s="49" t="n"/>
      <c r="G28" s="11" t="inlineStr"/>
      <c r="H28" s="11" t="inlineStr"/>
      <c r="I28" s="11" t="inlineStr"/>
      <c r="J28" s="11" t="inlineStr"/>
      <c r="K28" s="11" t="inlineStr"/>
      <c r="L28" s="11" t="inlineStr"/>
      <c r="M28" s="11" t="inlineStr"/>
    </row>
    <row r="29" ht="20" customHeight="1">
      <c r="A29" s="44" t="inlineStr"/>
      <c r="B29" s="23" t="inlineStr"/>
      <c r="C29" s="49" t="n"/>
      <c r="D29" s="23" t="inlineStr"/>
      <c r="E29" s="23" t="inlineStr"/>
      <c r="F29" s="49" t="n"/>
      <c r="G29" s="23" t="inlineStr"/>
      <c r="H29" s="23" t="inlineStr"/>
      <c r="I29" s="23" t="inlineStr"/>
      <c r="J29" s="23" t="inlineStr"/>
      <c r="K29" s="23" t="inlineStr"/>
      <c r="L29" s="23" t="inlineStr"/>
      <c r="M29" s="23" t="inlineStr"/>
    </row>
    <row r="30" ht="20" customHeight="1">
      <c r="A30" s="44" t="inlineStr"/>
      <c r="B30" s="11" t="inlineStr"/>
      <c r="C30" s="49" t="n"/>
      <c r="D30" s="11" t="inlineStr"/>
      <c r="E30" s="11" t="inlineStr"/>
      <c r="F30" s="49" t="n"/>
      <c r="G30" s="11" t="inlineStr"/>
      <c r="H30" s="11" t="inlineStr"/>
      <c r="I30" s="11" t="inlineStr"/>
      <c r="J30" s="11" t="inlineStr"/>
      <c r="K30" s="11" t="inlineStr"/>
      <c r="L30" s="11" t="inlineStr"/>
      <c r="M30" s="11" t="inlineStr"/>
    </row>
    <row r="31" ht="20" customHeight="1">
      <c r="A31" s="44" t="inlineStr"/>
      <c r="B31" s="23" t="inlineStr"/>
      <c r="C31" s="49" t="n"/>
      <c r="D31" s="23" t="inlineStr"/>
      <c r="E31" s="23" t="inlineStr"/>
      <c r="F31" s="49" t="n"/>
      <c r="G31" s="23" t="inlineStr"/>
      <c r="H31" s="23" t="inlineStr"/>
      <c r="I31" s="23" t="inlineStr"/>
      <c r="J31" s="23" t="inlineStr"/>
      <c r="K31" s="23" t="inlineStr"/>
      <c r="L31" s="23" t="inlineStr"/>
      <c r="M31" s="23" t="inlineStr"/>
    </row>
    <row r="34" ht="14" customHeight="1">
      <c r="A34" s="84" t="inlineStr">
        <is>
          <t>Le N° commande GCK (colonne 1) est obligatoire sur toute facture DAKAM Circuit A — sans lui, aucune facture ne peut être émise.</t>
        </is>
      </c>
    </row>
    <row r="36" ht="13" customHeight="1">
      <c r="A36" s="41" t="inlineStr">
        <is>
          <t>DOC-VT-04 — Tableau Suivi Commandes DAKAM — Circuit A — KILIMA Holdings</t>
        </is>
      </c>
    </row>
  </sheetData>
  <mergeCells count="54">
    <mergeCell ref="E12:F12"/>
    <mergeCell ref="B16:C16"/>
    <mergeCell ref="A8:D8"/>
    <mergeCell ref="B25:C25"/>
    <mergeCell ref="E24:F24"/>
    <mergeCell ref="B22:C22"/>
    <mergeCell ref="E23:F23"/>
    <mergeCell ref="E14:F14"/>
    <mergeCell ref="B31:C31"/>
    <mergeCell ref="B27:C27"/>
    <mergeCell ref="A3:L3"/>
    <mergeCell ref="E17:F17"/>
    <mergeCell ref="B18:C18"/>
    <mergeCell ref="E8:L8"/>
    <mergeCell ref="B12:C12"/>
    <mergeCell ref="B21:C21"/>
    <mergeCell ref="E20:F20"/>
    <mergeCell ref="B11:C11"/>
    <mergeCell ref="E29:F29"/>
    <mergeCell ref="E19:F19"/>
    <mergeCell ref="A34:M34"/>
    <mergeCell ref="B23:C23"/>
    <mergeCell ref="E28:F28"/>
    <mergeCell ref="B14:C14"/>
    <mergeCell ref="E13:F13"/>
    <mergeCell ref="I2:L2"/>
    <mergeCell ref="B17:C17"/>
    <mergeCell ref="E31:F31"/>
    <mergeCell ref="A4:L4"/>
    <mergeCell ref="B13:C13"/>
    <mergeCell ref="A36:M36"/>
    <mergeCell ref="A10:L10"/>
    <mergeCell ref="B29:C29"/>
    <mergeCell ref="E30:F30"/>
    <mergeCell ref="E15:F15"/>
    <mergeCell ref="B19:C19"/>
    <mergeCell ref="A2:H2"/>
    <mergeCell ref="E11:F11"/>
    <mergeCell ref="B28:C28"/>
    <mergeCell ref="E27:F27"/>
    <mergeCell ref="A7:D7"/>
    <mergeCell ref="E26:F26"/>
    <mergeCell ref="B24:C24"/>
    <mergeCell ref="B30:C30"/>
    <mergeCell ref="B15:C15"/>
    <mergeCell ref="E16:F16"/>
    <mergeCell ref="E7:L7"/>
    <mergeCell ref="E25:F25"/>
    <mergeCell ref="B20:C20"/>
    <mergeCell ref="A6:L6"/>
    <mergeCell ref="E22:F22"/>
    <mergeCell ref="B26:C26"/>
    <mergeCell ref="E18:F18"/>
    <mergeCell ref="E21:F21"/>
  </mergeCells>
  <pageMargins left="0.5" right="0.5" top="0.6" bottom="0.6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L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6" customWidth="1" min="3" max="3"/>
    <col width="10" customWidth="1" min="4" max="4"/>
    <col width="16" customWidth="1" min="5" max="5"/>
    <col width="8" customWidth="1" min="6" max="6"/>
    <col width="8" customWidth="1" min="7" max="7"/>
    <col width="10" customWidth="1" min="8" max="8"/>
    <col width="8" customWidth="1" min="9" max="9"/>
    <col width="8" customWidth="1" min="10" max="10"/>
    <col width="10" customWidth="1" min="11" max="11"/>
    <col width="8" customWidth="1" min="12" max="12"/>
  </cols>
  <sheetData>
    <row r="1" ht="8" customHeight="1"/>
    <row r="2" ht="26" customHeight="1">
      <c r="A2" s="30" t="inlineStr">
        <is>
          <t>KILIMA Holdings</t>
        </is>
      </c>
      <c r="I2" s="31" t="inlineStr">
        <is>
          <t>DOC-VT-05</t>
        </is>
      </c>
    </row>
    <row r="3" ht="18" customHeight="1">
      <c r="A3" s="46" t="inlineStr">
        <is>
          <t>BORDEREAU CONSOLIDÉ GHR DU SOIR</t>
        </is>
      </c>
    </row>
    <row r="4" ht="16" customHeight="1">
      <c r="A4" s="47" t="inlineStr">
        <is>
          <t>Guest House Relax — Établi par l'agent centralisateur GHR — Remis à Eliane le lendemain matin</t>
        </is>
      </c>
    </row>
    <row r="5" ht="6" customHeight="1"/>
    <row r="6" ht="16" customHeight="1">
      <c r="A6" s="13" t="inlineStr">
        <is>
          <t>En-tête</t>
        </is>
      </c>
    </row>
    <row r="7" ht="20" customHeight="1">
      <c r="A7" s="36" t="inlineStr">
        <is>
          <t>Date de la journée concernée</t>
        </is>
      </c>
      <c r="B7" s="100" t="n"/>
      <c r="C7" s="100" t="n"/>
      <c r="D7" s="49" t="n"/>
      <c r="E7" s="35" t="inlineStr"/>
      <c r="F7" s="100" t="n"/>
      <c r="G7" s="100" t="n"/>
      <c r="H7" s="100" t="n"/>
      <c r="I7" s="100" t="n"/>
      <c r="J7" s="100" t="n"/>
      <c r="K7" s="100" t="n"/>
      <c r="L7" s="49" t="n"/>
    </row>
    <row r="8" ht="20" customHeight="1">
      <c r="A8" s="36" t="inlineStr">
        <is>
          <t>Agent centralisateur GHR</t>
        </is>
      </c>
      <c r="B8" s="100" t="n"/>
      <c r="C8" s="100" t="n"/>
      <c r="D8" s="49" t="n"/>
      <c r="E8" s="35" t="inlineStr"/>
      <c r="F8" s="100" t="n"/>
      <c r="G8" s="100" t="n"/>
      <c r="H8" s="100" t="n"/>
      <c r="I8" s="100" t="n"/>
      <c r="J8" s="100" t="n"/>
      <c r="K8" s="100" t="n"/>
      <c r="L8" s="49" t="n"/>
    </row>
    <row r="9" ht="20" customHeight="1">
      <c r="A9" s="36" t="inlineStr">
        <is>
          <t>Heure de consolidation</t>
        </is>
      </c>
      <c r="B9" s="100" t="n"/>
      <c r="C9" s="100" t="n"/>
      <c r="D9" s="49" t="n"/>
      <c r="E9" s="35" t="inlineStr"/>
      <c r="F9" s="100" t="n"/>
      <c r="G9" s="100" t="n"/>
      <c r="H9" s="100" t="n"/>
      <c r="I9" s="100" t="n"/>
      <c r="J9" s="100" t="n"/>
      <c r="K9" s="100" t="n"/>
      <c r="L9" s="49" t="n"/>
    </row>
    <row r="11" ht="16" customHeight="1">
      <c r="A11" s="13" t="inlineStr">
        <is>
          <t>Détail par source de fonds</t>
        </is>
      </c>
    </row>
    <row r="12" ht="20" customHeight="1">
      <c r="A12" s="61" t="inlineStr">
        <is>
          <t>Source</t>
        </is>
      </c>
      <c r="B12" s="109" t="n"/>
      <c r="C12" s="106" t="n"/>
      <c r="D12" s="61" t="inlineStr">
        <is>
          <t>Montant USD</t>
        </is>
      </c>
      <c r="E12" s="61" t="inlineStr">
        <is>
          <t>Montant CDF</t>
        </is>
      </c>
      <c r="F12" s="61" t="inlineStr">
        <is>
          <t>Nb reçus / bons</t>
        </is>
      </c>
      <c r="G12" s="106" t="n"/>
      <c r="H12" s="61" t="inlineStr">
        <is>
          <t>Cédant</t>
        </is>
      </c>
      <c r="I12" s="106" t="n"/>
      <c r="J12" s="61" t="inlineStr">
        <is>
          <t>Heure cession</t>
        </is>
      </c>
      <c r="K12" s="61" t="inlineStr">
        <is>
          <t>Obs.</t>
        </is>
      </c>
      <c r="L12" s="106" t="n"/>
    </row>
    <row r="13" ht="22" customHeight="1">
      <c r="A13" s="11" t="inlineStr">
        <is>
          <t>Réception hôtel (reçus manuels)</t>
        </is>
      </c>
      <c r="B13" s="100" t="n"/>
      <c r="C13" s="49" t="n"/>
      <c r="D13" s="85" t="inlineStr"/>
      <c r="E13" s="85" t="inlineStr"/>
      <c r="F13" s="44" t="inlineStr"/>
      <c r="G13" s="49" t="n"/>
      <c r="H13" s="86" t="inlineStr">
        <is>
          <t>Réceptionniste</t>
        </is>
      </c>
      <c r="I13" s="49" t="n"/>
      <c r="J13" s="44" t="inlineStr"/>
      <c r="K13" s="11" t="inlineStr"/>
      <c r="L13" s="49" t="n"/>
    </row>
    <row r="14" ht="22" customHeight="1">
      <c r="A14" s="17" t="inlineStr">
        <is>
          <t>Restaurant (ventes repas)</t>
        </is>
      </c>
      <c r="B14" s="100" t="n"/>
      <c r="C14" s="49" t="n"/>
      <c r="D14" s="85" t="inlineStr"/>
      <c r="E14" s="85" t="inlineStr"/>
      <c r="F14" s="44" t="inlineStr"/>
      <c r="G14" s="49" t="n"/>
      <c r="H14" s="87" t="inlineStr">
        <is>
          <t>Commis caisse restaurant</t>
        </is>
      </c>
      <c r="I14" s="49" t="n"/>
      <c r="J14" s="44" t="inlineStr"/>
      <c r="K14" s="17" t="inlineStr"/>
      <c r="L14" s="49" t="n"/>
    </row>
    <row r="15" ht="22" customHeight="1">
      <c r="A15" s="11" t="inlineStr">
        <is>
          <t>Bar (ventes boissons)</t>
        </is>
      </c>
      <c r="B15" s="100" t="n"/>
      <c r="C15" s="49" t="n"/>
      <c r="D15" s="85" t="inlineStr"/>
      <c r="E15" s="85" t="inlineStr"/>
      <c r="F15" s="44" t="inlineStr"/>
      <c r="G15" s="49" t="n"/>
      <c r="H15" s="86" t="inlineStr">
        <is>
          <t>Commis caisse bar</t>
        </is>
      </c>
      <c r="I15" s="49" t="n"/>
      <c r="J15" s="44" t="inlineStr"/>
      <c r="K15" s="11" t="inlineStr"/>
      <c r="L15" s="49" t="n"/>
    </row>
    <row r="16" ht="22" customHeight="1">
      <c r="A16" s="17" t="inlineStr">
        <is>
          <t>Autres encaissements</t>
        </is>
      </c>
      <c r="B16" s="100" t="n"/>
      <c r="C16" s="49" t="n"/>
      <c r="D16" s="85" t="inlineStr"/>
      <c r="E16" s="85" t="inlineStr"/>
      <c r="F16" s="44" t="inlineStr"/>
      <c r="G16" s="49" t="n"/>
      <c r="H16" s="87" t="inlineStr">
        <is>
          <t>—</t>
        </is>
      </c>
      <c r="I16" s="49" t="n"/>
      <c r="J16" s="44" t="inlineStr"/>
      <c r="K16" s="17" t="inlineStr"/>
      <c r="L16" s="49" t="n"/>
    </row>
    <row r="18" ht="22" customHeight="1">
      <c r="A18" s="88" t="inlineStr">
        <is>
          <t>TOTAL CONSOLIDÉ GHR DU SOIR</t>
        </is>
      </c>
      <c r="D18" s="89" t="inlineStr"/>
      <c r="E18" s="89" t="inlineStr"/>
      <c r="F18" s="90" t="inlineStr"/>
      <c r="H18" s="81" t="inlineStr"/>
      <c r="I18" s="81" t="inlineStr"/>
      <c r="J18" s="81" t="inlineStr"/>
      <c r="K18" s="81" t="inlineStr"/>
      <c r="L18" s="81" t="inlineStr"/>
    </row>
    <row r="20" ht="16" customHeight="1">
      <c r="A20" s="19" t="inlineStr">
        <is>
          <t>Vérification de cohérence (à remplir par l'agent consolidateur)</t>
        </is>
      </c>
    </row>
    <row r="21" ht="20" customHeight="1">
      <c r="A21" s="22" t="inlineStr">
        <is>
          <t>Total reçus manuels hôtel (doit = montant réception)</t>
        </is>
      </c>
      <c r="B21" s="100" t="n"/>
      <c r="C21" s="100" t="n"/>
      <c r="D21" s="49" t="n"/>
      <c r="E21" s="35" t="inlineStr"/>
      <c r="F21" s="100" t="n"/>
      <c r="G21" s="100" t="n"/>
      <c r="H21" s="100" t="n"/>
      <c r="I21" s="100" t="n"/>
      <c r="J21" s="100" t="n"/>
      <c r="K21" s="100" t="n"/>
      <c r="L21" s="49" t="n"/>
    </row>
    <row r="22" ht="20" customHeight="1">
      <c r="A22" s="22" t="inlineStr">
        <is>
          <t>Total bons de caisse restaurant (doit = montant restaurant)</t>
        </is>
      </c>
      <c r="B22" s="100" t="n"/>
      <c r="C22" s="100" t="n"/>
      <c r="D22" s="49" t="n"/>
      <c r="E22" s="35" t="inlineStr"/>
      <c r="F22" s="100" t="n"/>
      <c r="G22" s="100" t="n"/>
      <c r="H22" s="100" t="n"/>
      <c r="I22" s="100" t="n"/>
      <c r="J22" s="100" t="n"/>
      <c r="K22" s="100" t="n"/>
      <c r="L22" s="49" t="n"/>
    </row>
    <row r="23" ht="20" customHeight="1">
      <c r="A23" s="22" t="inlineStr">
        <is>
          <t>Total bons de caisse bar (doit = montant bar)</t>
        </is>
      </c>
      <c r="B23" s="100" t="n"/>
      <c r="C23" s="100" t="n"/>
      <c r="D23" s="49" t="n"/>
      <c r="E23" s="35" t="inlineStr"/>
      <c r="F23" s="100" t="n"/>
      <c r="G23" s="100" t="n"/>
      <c r="H23" s="100" t="n"/>
      <c r="I23" s="100" t="n"/>
      <c r="J23" s="100" t="n"/>
      <c r="K23" s="100" t="n"/>
      <c r="L23" s="49" t="n"/>
    </row>
    <row r="26" ht="16" customHeight="1">
      <c r="A26" s="39" t="inlineStr">
        <is>
          <t>Agent centralisateur GHR
(signature consolidation)</t>
        </is>
      </c>
      <c r="B26" s="101" t="n"/>
      <c r="C26" s="101" t="n"/>
      <c r="D26" s="102" t="n"/>
      <c r="E26" s="39" t="inlineStr">
        <is>
          <t>Eliane MUSOLO
(signature réception lendemain matin)</t>
        </is>
      </c>
      <c r="F26" s="101" t="n"/>
      <c r="G26" s="101" t="n"/>
      <c r="H26" s="102" t="n"/>
      <c r="I26" s="39" t="inlineStr">
        <is>
          <t>Raphael T — Comptable
(visa comptabilisation)</t>
        </is>
      </c>
      <c r="J26" s="101" t="n"/>
      <c r="K26" s="101" t="n"/>
      <c r="L26" s="102" t="n"/>
    </row>
    <row r="27" ht="48" customHeight="1">
      <c r="A27" s="40" t="inlineStr"/>
      <c r="B27" s="100" t="n"/>
      <c r="C27" s="100" t="n"/>
      <c r="D27" s="49" t="n"/>
      <c r="E27" s="40" t="inlineStr"/>
      <c r="F27" s="100" t="n"/>
      <c r="G27" s="100" t="n"/>
      <c r="H27" s="49" t="n"/>
      <c r="I27" s="40" t="inlineStr"/>
      <c r="J27" s="100" t="n"/>
      <c r="K27" s="100" t="n"/>
      <c r="L27" s="49" t="n"/>
    </row>
    <row r="29" ht="13" customHeight="1">
      <c r="A29" s="41" t="inlineStr">
        <is>
          <t>DOC-VT-05 — Bordereau Consolidé GHR du Soir — Guest House Relax — KILIMA Holdings</t>
        </is>
      </c>
    </row>
  </sheetData>
  <mergeCells count="48">
    <mergeCell ref="K16:L16"/>
    <mergeCell ref="A23:D23"/>
    <mergeCell ref="E26:H26"/>
    <mergeCell ref="A8:D8"/>
    <mergeCell ref="E21:L21"/>
    <mergeCell ref="A22:D22"/>
    <mergeCell ref="F16:G16"/>
    <mergeCell ref="K15:L15"/>
    <mergeCell ref="A18:C18"/>
    <mergeCell ref="A12:C12"/>
    <mergeCell ref="A3:L3"/>
    <mergeCell ref="E23:L23"/>
    <mergeCell ref="E8:L8"/>
    <mergeCell ref="A9:D9"/>
    <mergeCell ref="F12:G12"/>
    <mergeCell ref="F15:G15"/>
    <mergeCell ref="A14:C14"/>
    <mergeCell ref="F18:G18"/>
    <mergeCell ref="I2:L2"/>
    <mergeCell ref="I27:L27"/>
    <mergeCell ref="A4:L4"/>
    <mergeCell ref="A20:L20"/>
    <mergeCell ref="E9:L9"/>
    <mergeCell ref="A13:C13"/>
    <mergeCell ref="A29:L29"/>
    <mergeCell ref="K12:L12"/>
    <mergeCell ref="I26:L26"/>
    <mergeCell ref="H16:I16"/>
    <mergeCell ref="A2:H2"/>
    <mergeCell ref="A7:D7"/>
    <mergeCell ref="F13:G13"/>
    <mergeCell ref="A15:C15"/>
    <mergeCell ref="H13:I13"/>
    <mergeCell ref="K14:L14"/>
    <mergeCell ref="H12:I12"/>
    <mergeCell ref="A27:D27"/>
    <mergeCell ref="E7:L7"/>
    <mergeCell ref="A11:L11"/>
    <mergeCell ref="A26:D26"/>
    <mergeCell ref="H15:I15"/>
    <mergeCell ref="A21:D21"/>
    <mergeCell ref="A6:L6"/>
    <mergeCell ref="F14:G14"/>
    <mergeCell ref="E22:L22"/>
    <mergeCell ref="H14:I14"/>
    <mergeCell ref="K13:L13"/>
    <mergeCell ref="E27:H27"/>
    <mergeCell ref="A16:C16"/>
  </mergeCells>
  <pageMargins left="0.5" right="0.5" top="0.6" bottom="0.6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L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6" customWidth="1" min="3" max="3"/>
    <col width="10" customWidth="1" min="4" max="4"/>
    <col width="16" customWidth="1" min="5" max="5"/>
    <col width="8" customWidth="1" min="6" max="6"/>
    <col width="8" customWidth="1" min="7" max="7"/>
    <col width="10" customWidth="1" min="8" max="8"/>
    <col width="8" customWidth="1" min="9" max="9"/>
    <col width="8" customWidth="1" min="10" max="10"/>
    <col width="10" customWidth="1" min="11" max="11"/>
    <col width="8" customWidth="1" min="12" max="12"/>
  </cols>
  <sheetData>
    <row r="1" ht="8" customHeight="1"/>
    <row r="2" ht="26" customHeight="1">
      <c r="A2" s="30" t="inlineStr">
        <is>
          <t>KILIMA Holdings</t>
        </is>
      </c>
      <c r="I2" s="31" t="inlineStr">
        <is>
          <t>DOC-MT-01</t>
        </is>
      </c>
    </row>
    <row r="3" ht="18" customHeight="1">
      <c r="A3" s="46" t="inlineStr">
        <is>
          <t>FICHE DE PRESTATION JOURNALIÈRE</t>
        </is>
      </c>
    </row>
    <row r="4" ht="16" customHeight="1">
      <c r="A4" s="47" t="inlineStr">
        <is>
          <t>Ets HORIZON — Remplie par le dispatch terrain — Transmise à Vinciane avant 17h</t>
        </is>
      </c>
    </row>
    <row r="5" ht="6" customHeight="1"/>
    <row r="6" ht="16" customHeight="1">
      <c r="A6" s="13" t="inlineStr">
        <is>
          <t>Identification</t>
        </is>
      </c>
    </row>
    <row r="7" ht="20" customHeight="1">
      <c r="A7" s="36" t="inlineStr">
        <is>
          <t>Date</t>
        </is>
      </c>
      <c r="B7" s="100" t="n"/>
      <c r="C7" s="100" t="n"/>
      <c r="D7" s="49" t="n"/>
      <c r="E7" s="35" t="inlineStr"/>
      <c r="F7" s="100" t="n"/>
      <c r="G7" s="100" t="n"/>
      <c r="H7" s="100" t="n"/>
      <c r="I7" s="100" t="n"/>
      <c r="J7" s="100" t="n"/>
      <c r="K7" s="100" t="n"/>
      <c r="L7" s="49" t="n"/>
    </row>
    <row r="8" ht="20" customHeight="1">
      <c r="A8" s="36" t="inlineStr">
        <is>
          <t>Engin (type + N° identification)</t>
        </is>
      </c>
      <c r="B8" s="100" t="n"/>
      <c r="C8" s="100" t="n"/>
      <c r="D8" s="49" t="n"/>
      <c r="E8" s="35" t="inlineStr"/>
      <c r="F8" s="100" t="n"/>
      <c r="G8" s="100" t="n"/>
      <c r="H8" s="100" t="n"/>
      <c r="I8" s="100" t="n"/>
      <c r="J8" s="100" t="n"/>
      <c r="K8" s="100" t="n"/>
      <c r="L8" s="49" t="n"/>
    </row>
    <row r="9" ht="20" customHeight="1">
      <c r="A9" s="36" t="inlineStr">
        <is>
          <t>Client</t>
        </is>
      </c>
      <c r="B9" s="100" t="n"/>
      <c r="C9" s="100" t="n"/>
      <c r="D9" s="49" t="n"/>
      <c r="E9" s="35" t="inlineStr"/>
      <c r="F9" s="100" t="n"/>
      <c r="G9" s="100" t="n"/>
      <c r="H9" s="100" t="n"/>
      <c r="I9" s="100" t="n"/>
      <c r="J9" s="100" t="n"/>
      <c r="K9" s="100" t="n"/>
      <c r="L9" s="49" t="n"/>
    </row>
    <row r="10" ht="20" customHeight="1">
      <c r="A10" s="36" t="inlineStr">
        <is>
          <t>Site d'intervention</t>
        </is>
      </c>
      <c r="B10" s="100" t="n"/>
      <c r="C10" s="100" t="n"/>
      <c r="D10" s="49" t="n"/>
      <c r="E10" s="35" t="inlineStr"/>
      <c r="F10" s="100" t="n"/>
      <c r="G10" s="100" t="n"/>
      <c r="H10" s="100" t="n"/>
      <c r="I10" s="100" t="n"/>
      <c r="J10" s="100" t="n"/>
      <c r="K10" s="100" t="n"/>
      <c r="L10" s="49" t="n"/>
    </row>
    <row r="11" ht="20" customHeight="1">
      <c r="A11" s="36" t="inlineStr">
        <is>
          <t>Opérateur / Conducteur engin</t>
        </is>
      </c>
      <c r="B11" s="100" t="n"/>
      <c r="C11" s="100" t="n"/>
      <c r="D11" s="49" t="n"/>
      <c r="E11" s="35" t="inlineStr"/>
      <c r="F11" s="100" t="n"/>
      <c r="G11" s="100" t="n"/>
      <c r="H11" s="100" t="n"/>
      <c r="I11" s="100" t="n"/>
      <c r="J11" s="100" t="n"/>
      <c r="K11" s="100" t="n"/>
      <c r="L11" s="49" t="n"/>
    </row>
    <row r="12" ht="20" customHeight="1">
      <c r="A12" s="36" t="inlineStr">
        <is>
          <t>Réf. contrat client</t>
        </is>
      </c>
      <c r="B12" s="100" t="n"/>
      <c r="C12" s="100" t="n"/>
      <c r="D12" s="49" t="n"/>
      <c r="E12" s="35" t="inlineStr"/>
      <c r="F12" s="100" t="n"/>
      <c r="G12" s="100" t="n"/>
      <c r="H12" s="100" t="n"/>
      <c r="I12" s="100" t="n"/>
      <c r="J12" s="100" t="n"/>
      <c r="K12" s="100" t="n"/>
      <c r="L12" s="49" t="n"/>
    </row>
    <row r="14" ht="16" customHeight="1">
      <c r="A14" s="13" t="inlineStr">
        <is>
          <t>Détail des prestations de la journée</t>
        </is>
      </c>
    </row>
    <row r="15" ht="22" customHeight="1">
      <c r="A15" s="61" t="inlineStr">
        <is>
          <t>Heure début</t>
        </is>
      </c>
      <c r="B15" s="61" t="inlineStr">
        <is>
          <t>Heure fin</t>
        </is>
      </c>
      <c r="C15" s="61" t="inlineStr">
        <is>
          <t>Durée
(h)</t>
        </is>
      </c>
      <c r="D15" s="61" t="inlineStr">
        <is>
          <t>Nature des travaux effectués</t>
        </is>
      </c>
      <c r="E15" s="109" t="n"/>
      <c r="F15" s="109" t="n"/>
      <c r="G15" s="106" t="n"/>
      <c r="H15" s="61" t="inlineStr">
        <is>
          <t>Unité facturable
(h / jour / forfait)</t>
        </is>
      </c>
      <c r="I15" s="106" t="n"/>
      <c r="J15" s="61" t="inlineStr">
        <is>
          <t>Qté facturable</t>
        </is>
      </c>
      <c r="K15" s="61" t="inlineStr">
        <is>
          <t>Observations</t>
        </is>
      </c>
      <c r="L15" s="106" t="n"/>
    </row>
    <row r="16" ht="22" customHeight="1">
      <c r="A16" s="44" t="inlineStr"/>
      <c r="B16" s="44" t="inlineStr"/>
      <c r="C16" s="91">
        <f>IF(AND(A16&lt;&gt;"",B16&lt;&gt;""),B16-A16,"")</f>
        <v/>
      </c>
      <c r="D16" s="11" t="inlineStr"/>
      <c r="E16" s="100" t="n"/>
      <c r="F16" s="100" t="n"/>
      <c r="G16" s="49" t="n"/>
      <c r="H16" s="92" t="inlineStr"/>
      <c r="I16" s="106" t="n"/>
      <c r="J16" s="44" t="inlineStr"/>
      <c r="K16" s="11" t="inlineStr"/>
      <c r="L16" s="49" t="n"/>
    </row>
    <row r="17" ht="22" customHeight="1">
      <c r="A17" s="44" t="inlineStr"/>
      <c r="B17" s="44" t="inlineStr"/>
      <c r="C17" s="93">
        <f>IF(AND(A17&lt;&gt;"",B17&lt;&gt;""),B17-A17,"")</f>
        <v/>
      </c>
      <c r="D17" s="17" t="inlineStr"/>
      <c r="E17" s="100" t="n"/>
      <c r="F17" s="100" t="n"/>
      <c r="G17" s="49" t="n"/>
      <c r="H17" s="92" t="inlineStr"/>
      <c r="I17" s="106" t="n"/>
      <c r="J17" s="44" t="inlineStr"/>
      <c r="K17" s="17" t="inlineStr"/>
      <c r="L17" s="49" t="n"/>
    </row>
    <row r="18" ht="22" customHeight="1">
      <c r="A18" s="44" t="inlineStr"/>
      <c r="B18" s="44" t="inlineStr"/>
      <c r="C18" s="91">
        <f>IF(AND(A18&lt;&gt;"",B18&lt;&gt;""),B18-A18,"")</f>
        <v/>
      </c>
      <c r="D18" s="11" t="inlineStr"/>
      <c r="E18" s="100" t="n"/>
      <c r="F18" s="100" t="n"/>
      <c r="G18" s="49" t="n"/>
      <c r="H18" s="92" t="inlineStr"/>
      <c r="I18" s="106" t="n"/>
      <c r="J18" s="44" t="inlineStr"/>
      <c r="K18" s="11" t="inlineStr"/>
      <c r="L18" s="49" t="n"/>
    </row>
    <row r="19" ht="22" customHeight="1">
      <c r="A19" s="44" t="inlineStr"/>
      <c r="B19" s="44" t="inlineStr"/>
      <c r="C19" s="93">
        <f>IF(AND(A19&lt;&gt;"",B19&lt;&gt;""),B19-A19,"")</f>
        <v/>
      </c>
      <c r="D19" s="17" t="inlineStr"/>
      <c r="E19" s="100" t="n"/>
      <c r="F19" s="100" t="n"/>
      <c r="G19" s="49" t="n"/>
      <c r="H19" s="92" t="inlineStr"/>
      <c r="I19" s="106" t="n"/>
      <c r="J19" s="44" t="inlineStr"/>
      <c r="K19" s="17" t="inlineStr"/>
      <c r="L19" s="49" t="n"/>
    </row>
    <row r="20" ht="22" customHeight="1">
      <c r="A20" s="44" t="inlineStr"/>
      <c r="B20" s="44" t="inlineStr"/>
      <c r="C20" s="91">
        <f>IF(AND(A20&lt;&gt;"",B20&lt;&gt;""),B20-A20,"")</f>
        <v/>
      </c>
      <c r="D20" s="11" t="inlineStr"/>
      <c r="E20" s="100" t="n"/>
      <c r="F20" s="100" t="n"/>
      <c r="G20" s="49" t="n"/>
      <c r="H20" s="92" t="inlineStr"/>
      <c r="I20" s="106" t="n"/>
      <c r="J20" s="44" t="inlineStr"/>
      <c r="K20" s="11" t="inlineStr"/>
      <c r="L20" s="49" t="n"/>
    </row>
    <row r="21" ht="22" customHeight="1">
      <c r="A21" s="44" t="inlineStr"/>
      <c r="B21" s="44" t="inlineStr"/>
      <c r="C21" s="93">
        <f>IF(AND(A21&lt;&gt;"",B21&lt;&gt;""),B21-A21,"")</f>
        <v/>
      </c>
      <c r="D21" s="17" t="inlineStr"/>
      <c r="E21" s="100" t="n"/>
      <c r="F21" s="100" t="n"/>
      <c r="G21" s="49" t="n"/>
      <c r="H21" s="92" t="inlineStr"/>
      <c r="I21" s="106" t="n"/>
      <c r="J21" s="44" t="inlineStr"/>
      <c r="K21" s="17" t="inlineStr"/>
      <c r="L21" s="49" t="n"/>
    </row>
    <row r="22" ht="22" customHeight="1">
      <c r="A22" s="44" t="inlineStr"/>
      <c r="B22" s="44" t="inlineStr"/>
      <c r="C22" s="91">
        <f>IF(AND(A22&lt;&gt;"",B22&lt;&gt;""),B22-A22,"")</f>
        <v/>
      </c>
      <c r="D22" s="11" t="inlineStr"/>
      <c r="E22" s="100" t="n"/>
      <c r="F22" s="100" t="n"/>
      <c r="G22" s="49" t="n"/>
      <c r="H22" s="92" t="inlineStr"/>
      <c r="I22" s="106" t="n"/>
      <c r="J22" s="44" t="inlineStr"/>
      <c r="K22" s="11" t="inlineStr"/>
      <c r="L22" s="49" t="n"/>
    </row>
    <row r="23" ht="22" customHeight="1">
      <c r="A23" s="44" t="inlineStr"/>
      <c r="B23" s="44" t="inlineStr"/>
      <c r="C23" s="93">
        <f>IF(AND(A23&lt;&gt;"",B23&lt;&gt;""),B23-A23,"")</f>
        <v/>
      </c>
      <c r="D23" s="17" t="inlineStr"/>
      <c r="E23" s="100" t="n"/>
      <c r="F23" s="100" t="n"/>
      <c r="G23" s="49" t="n"/>
      <c r="H23" s="92" t="inlineStr"/>
      <c r="I23" s="106" t="n"/>
      <c r="J23" s="44" t="inlineStr"/>
      <c r="K23" s="17" t="inlineStr"/>
      <c r="L23" s="49" t="n"/>
    </row>
    <row r="25" ht="20" customHeight="1">
      <c r="A25" s="88" t="inlineStr">
        <is>
          <t>TOTAL HEURES / UNITÉS FACTURABLES</t>
        </is>
      </c>
      <c r="J25" s="89" t="inlineStr"/>
      <c r="K25" s="109" t="n"/>
      <c r="L25" s="106" t="n"/>
    </row>
    <row r="27" ht="16" customHeight="1">
      <c r="A27" s="25" t="inlineStr">
        <is>
          <t>Arrêts et incidents</t>
        </is>
      </c>
    </row>
    <row r="28" ht="20" customHeight="1">
      <c r="A28" s="58" t="inlineStr">
        <is>
          <t>Heure début arrêt</t>
        </is>
      </c>
      <c r="B28" s="105" t="n"/>
      <c r="C28" s="58" t="inlineStr">
        <is>
          <t>Heure fin arrêt</t>
        </is>
      </c>
      <c r="D28" s="105" t="n"/>
      <c r="E28" s="58" t="inlineStr">
        <is>
          <t>Durée arrêt (h)</t>
        </is>
      </c>
      <c r="F28" s="58" t="inlineStr">
        <is>
          <t>Cause de l'arrêt</t>
        </is>
      </c>
      <c r="G28" s="110" t="n"/>
      <c r="H28" s="105" t="n"/>
      <c r="I28" s="58" t="inlineStr">
        <is>
          <t>Facturable client ?</t>
        </is>
      </c>
      <c r="J28" s="105" t="n"/>
      <c r="K28" s="58" t="inlineStr">
        <is>
          <t>Observations</t>
        </is>
      </c>
      <c r="L28" s="105" t="n"/>
    </row>
    <row r="29" ht="18" customHeight="1">
      <c r="A29" s="35" t="inlineStr"/>
      <c r="B29" s="49" t="n"/>
      <c r="C29" s="35" t="inlineStr"/>
      <c r="D29" s="49" t="n"/>
      <c r="E29" s="11" t="inlineStr"/>
      <c r="F29" s="35" t="inlineStr"/>
      <c r="G29" s="100" t="n"/>
      <c r="H29" s="49" t="n"/>
      <c r="I29" s="11" t="inlineStr"/>
      <c r="J29" s="49" t="n"/>
      <c r="K29" s="11" t="inlineStr"/>
      <c r="L29" s="49" t="n"/>
    </row>
    <row r="30" ht="18" customHeight="1">
      <c r="A30" s="35" t="inlineStr"/>
      <c r="B30" s="49" t="n"/>
      <c r="C30" s="35" t="inlineStr"/>
      <c r="D30" s="49" t="n"/>
      <c r="E30" s="40" t="inlineStr"/>
      <c r="F30" s="35" t="inlineStr"/>
      <c r="G30" s="100" t="n"/>
      <c r="H30" s="49" t="n"/>
      <c r="I30" s="40" t="inlineStr"/>
      <c r="J30" s="49" t="n"/>
      <c r="K30" s="40" t="inlineStr"/>
      <c r="L30" s="49" t="n"/>
    </row>
    <row r="31" ht="18" customHeight="1">
      <c r="A31" s="35" t="inlineStr"/>
      <c r="B31" s="49" t="n"/>
      <c r="C31" s="35" t="inlineStr"/>
      <c r="D31" s="49" t="n"/>
      <c r="E31" s="11" t="inlineStr"/>
      <c r="F31" s="35" t="inlineStr"/>
      <c r="G31" s="100" t="n"/>
      <c r="H31" s="49" t="n"/>
      <c r="I31" s="11" t="inlineStr"/>
      <c r="J31" s="49" t="n"/>
      <c r="K31" s="11" t="inlineStr"/>
      <c r="L31" s="49" t="n"/>
    </row>
    <row r="32" ht="18" customHeight="1">
      <c r="A32" s="35" t="inlineStr"/>
      <c r="B32" s="49" t="n"/>
      <c r="C32" s="35" t="inlineStr"/>
      <c r="D32" s="49" t="n"/>
      <c r="E32" s="40" t="inlineStr"/>
      <c r="F32" s="35" t="inlineStr"/>
      <c r="G32" s="100" t="n"/>
      <c r="H32" s="49" t="n"/>
      <c r="I32" s="40" t="inlineStr"/>
      <c r="J32" s="49" t="n"/>
      <c r="K32" s="40" t="inlineStr"/>
      <c r="L32" s="49" t="n"/>
    </row>
    <row r="35" ht="16" customHeight="1">
      <c r="A35" s="39" t="inlineStr">
        <is>
          <t>Dispatch terrain
(signature + heure transmission)</t>
        </is>
      </c>
      <c r="B35" s="101" t="n"/>
      <c r="C35" s="101" t="n"/>
      <c r="D35" s="102" t="n"/>
      <c r="E35" s="39" t="inlineStr">
        <is>
          <t>Ass. Tech. Vinciane
(accusé réception avant 17h)</t>
        </is>
      </c>
      <c r="F35" s="101" t="n"/>
      <c r="G35" s="101" t="n"/>
      <c r="H35" s="102" t="n"/>
      <c r="I35" s="39" t="inlineStr">
        <is>
          <t>DT Ruffin
(validation mensuelle)</t>
        </is>
      </c>
      <c r="J35" s="101" t="n"/>
      <c r="K35" s="101" t="n"/>
      <c r="L35" s="102" t="n"/>
    </row>
    <row r="36" ht="48" customHeight="1">
      <c r="A36" s="40" t="inlineStr"/>
      <c r="B36" s="100" t="n"/>
      <c r="C36" s="100" t="n"/>
      <c r="D36" s="49" t="n"/>
      <c r="E36" s="40" t="inlineStr"/>
      <c r="F36" s="100" t="n"/>
      <c r="G36" s="100" t="n"/>
      <c r="H36" s="49" t="n"/>
      <c r="I36" s="40" t="inlineStr"/>
      <c r="J36" s="100" t="n"/>
      <c r="K36" s="100" t="n"/>
      <c r="L36" s="49" t="n"/>
    </row>
    <row r="38" ht="13" customHeight="1">
      <c r="A38" s="41" t="inlineStr">
        <is>
          <t>DOC-MT-01 — Fiche de Prestation Journalière — Ets HORIZON — KILIMA Holdings</t>
        </is>
      </c>
    </row>
  </sheetData>
  <mergeCells count="80">
    <mergeCell ref="D18:G18"/>
    <mergeCell ref="J25:L25"/>
    <mergeCell ref="F31:H31"/>
    <mergeCell ref="D20:G20"/>
    <mergeCell ref="D22:G22"/>
    <mergeCell ref="E11:L11"/>
    <mergeCell ref="D21:G21"/>
    <mergeCell ref="A7:D7"/>
    <mergeCell ref="H15:I15"/>
    <mergeCell ref="A28:B28"/>
    <mergeCell ref="K28:L28"/>
    <mergeCell ref="C28:D28"/>
    <mergeCell ref="A6:L6"/>
    <mergeCell ref="H23:I23"/>
    <mergeCell ref="E36:H36"/>
    <mergeCell ref="I30:J30"/>
    <mergeCell ref="A30:B30"/>
    <mergeCell ref="K30:L30"/>
    <mergeCell ref="C30:D30"/>
    <mergeCell ref="A35:D35"/>
    <mergeCell ref="K15:L15"/>
    <mergeCell ref="A3:L3"/>
    <mergeCell ref="E8:L8"/>
    <mergeCell ref="K21:L21"/>
    <mergeCell ref="A9:D9"/>
    <mergeCell ref="I32:J32"/>
    <mergeCell ref="K32:L32"/>
    <mergeCell ref="E10:L10"/>
    <mergeCell ref="A14:L14"/>
    <mergeCell ref="D19:G19"/>
    <mergeCell ref="A11:D11"/>
    <mergeCell ref="A4:L4"/>
    <mergeCell ref="H17:I17"/>
    <mergeCell ref="A38:L38"/>
    <mergeCell ref="E9:L9"/>
    <mergeCell ref="A2:H2"/>
    <mergeCell ref="H19:I19"/>
    <mergeCell ref="F29:H29"/>
    <mergeCell ref="K17:L17"/>
    <mergeCell ref="K19:L19"/>
    <mergeCell ref="K16:L16"/>
    <mergeCell ref="E12:L12"/>
    <mergeCell ref="A8:D8"/>
    <mergeCell ref="I35:L35"/>
    <mergeCell ref="F32:H32"/>
    <mergeCell ref="D15:G15"/>
    <mergeCell ref="A10:D10"/>
    <mergeCell ref="K29:L29"/>
    <mergeCell ref="H21:I21"/>
    <mergeCell ref="C29:D29"/>
    <mergeCell ref="K31:L31"/>
    <mergeCell ref="I2:L2"/>
    <mergeCell ref="C31:D31"/>
    <mergeCell ref="A36:D36"/>
    <mergeCell ref="H16:I16"/>
    <mergeCell ref="A32:B32"/>
    <mergeCell ref="H22:I22"/>
    <mergeCell ref="K23:L23"/>
    <mergeCell ref="D17:G17"/>
    <mergeCell ref="C32:D32"/>
    <mergeCell ref="A12:D12"/>
    <mergeCell ref="F30:H30"/>
    <mergeCell ref="K18:L18"/>
    <mergeCell ref="A25:I25"/>
    <mergeCell ref="H20:I20"/>
    <mergeCell ref="A27:L27"/>
    <mergeCell ref="D23:G23"/>
    <mergeCell ref="K20:L20"/>
    <mergeCell ref="F28:H28"/>
    <mergeCell ref="I28:J28"/>
    <mergeCell ref="K22:L22"/>
    <mergeCell ref="I36:L36"/>
    <mergeCell ref="E35:H35"/>
    <mergeCell ref="I29:J29"/>
    <mergeCell ref="A29:B29"/>
    <mergeCell ref="E7:L7"/>
    <mergeCell ref="D16:G16"/>
    <mergeCell ref="H18:I18"/>
    <mergeCell ref="I31:J31"/>
    <mergeCell ref="A31:B31"/>
  </mergeCells>
  <pageMargins left="0.5" right="0.5" top="0.6" bottom="0.6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L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0" customWidth="1" min="12" max="12"/>
  </cols>
  <sheetData>
    <row r="1" ht="8" customHeight="1"/>
    <row r="2" ht="26" customHeight="1">
      <c r="A2" s="30" t="inlineStr">
        <is>
          <t>KILIMA Holdings</t>
        </is>
      </c>
      <c r="I2" s="31" t="inlineStr">
        <is>
          <t>DOC-MT-02</t>
        </is>
      </c>
    </row>
    <row r="3" ht="18" customHeight="1">
      <c r="A3" s="46" t="inlineStr">
        <is>
          <t>TABLEAU DE SUIVI DES PRESTATIONS</t>
        </is>
      </c>
    </row>
    <row r="4" ht="16" customHeight="1">
      <c r="A4" s="47" t="inlineStr">
        <is>
          <t>Ets HORIZON — Tenu par Vinciane — Mis à jour quotidiennement — Base de facturation mensuelle</t>
        </is>
      </c>
    </row>
    <row r="5" ht="6" customHeight="1"/>
    <row r="6" ht="16" customHeight="1">
      <c r="A6" s="13" t="inlineStr">
        <is>
          <t>En-tête</t>
        </is>
      </c>
    </row>
    <row r="7" ht="20" customHeight="1">
      <c r="A7" s="36" t="inlineStr">
        <is>
          <t>Mois concerné</t>
        </is>
      </c>
      <c r="B7" s="100" t="n"/>
      <c r="C7" s="100" t="n"/>
      <c r="D7" s="49" t="n"/>
      <c r="E7" s="35" t="inlineStr"/>
      <c r="F7" s="100" t="n"/>
      <c r="G7" s="100" t="n"/>
      <c r="H7" s="100" t="n"/>
      <c r="I7" s="100" t="n"/>
      <c r="J7" s="100" t="n"/>
      <c r="K7" s="100" t="n"/>
      <c r="L7" s="49" t="n"/>
    </row>
    <row r="8" ht="20" customHeight="1">
      <c r="A8" s="36" t="inlineStr">
        <is>
          <t>Tenu par (Vinciane)</t>
        </is>
      </c>
      <c r="B8" s="100" t="n"/>
      <c r="C8" s="100" t="n"/>
      <c r="D8" s="49" t="n"/>
      <c r="E8" s="35" t="inlineStr"/>
      <c r="F8" s="100" t="n"/>
      <c r="G8" s="100" t="n"/>
      <c r="H8" s="100" t="n"/>
      <c r="I8" s="100" t="n"/>
      <c r="J8" s="100" t="n"/>
      <c r="K8" s="100" t="n"/>
      <c r="L8" s="49" t="n"/>
    </row>
    <row r="10" ht="16" customHeight="1">
      <c r="A10" s="13" t="inlineStr">
        <is>
          <t>Suivi par engin et par client</t>
        </is>
      </c>
    </row>
    <row r="11" ht="28" customHeight="1">
      <c r="A11" s="61" t="inlineStr">
        <is>
          <t>Engin</t>
        </is>
      </c>
      <c r="B11" s="61" t="inlineStr">
        <is>
          <t>Client</t>
        </is>
      </c>
      <c r="C11" s="106" t="n"/>
      <c r="D11" s="61" t="inlineStr">
        <is>
          <t>Site</t>
        </is>
      </c>
      <c r="E11" s="61" t="inlineStr">
        <is>
          <t>Date début
prestation</t>
        </is>
      </c>
      <c r="F11" s="61" t="inlineStr">
        <is>
          <t>Tarif
unité</t>
        </is>
      </c>
      <c r="G11" s="61" t="inlineStr">
        <is>
          <t>Unité
(h/j/forf.)</t>
        </is>
      </c>
      <c r="H11" s="61" t="inlineStr">
        <is>
          <t>Total unités
facturables mois</t>
        </is>
      </c>
      <c r="I11" s="61" t="inlineStr">
        <is>
          <t>Montant
prov. USD</t>
        </is>
      </c>
      <c r="J11" s="61" t="inlineStr">
        <is>
          <t>Arrêts
non fact. (h)</t>
        </is>
      </c>
      <c r="K11" s="61" t="inlineStr">
        <is>
          <t>Statut
prestation</t>
        </is>
      </c>
      <c r="L11" s="61" t="inlineStr">
        <is>
          <t>Facture N°</t>
        </is>
      </c>
    </row>
    <row r="12" ht="22" customHeight="1">
      <c r="A12" s="11" t="inlineStr"/>
      <c r="B12" s="11" t="inlineStr"/>
      <c r="C12" s="49" t="n"/>
      <c r="D12" s="11" t="inlineStr"/>
      <c r="E12" s="35" t="inlineStr"/>
      <c r="F12" s="35" t="inlineStr"/>
      <c r="G12" s="35" t="inlineStr"/>
      <c r="H12" s="11" t="inlineStr"/>
      <c r="I12" s="67">
        <f>IF(AND(G12&lt;&gt;"",H12&lt;&gt;""),G12*H12,"")</f>
        <v/>
      </c>
      <c r="J12" s="11" t="inlineStr"/>
      <c r="K12" s="11" t="inlineStr"/>
      <c r="L12" s="11" t="inlineStr"/>
    </row>
    <row r="13" ht="22" customHeight="1">
      <c r="A13" s="17" t="inlineStr"/>
      <c r="B13" s="17" t="inlineStr"/>
      <c r="C13" s="49" t="n"/>
      <c r="D13" s="17" t="inlineStr"/>
      <c r="E13" s="35" t="inlineStr"/>
      <c r="F13" s="35" t="inlineStr"/>
      <c r="G13" s="35" t="inlineStr"/>
      <c r="H13" s="17" t="inlineStr"/>
      <c r="I13" s="94">
        <f>IF(AND(G13&lt;&gt;"",H13&lt;&gt;""),G13*H13,"")</f>
        <v/>
      </c>
      <c r="J13" s="17" t="inlineStr"/>
      <c r="K13" s="17" t="inlineStr"/>
      <c r="L13" s="17" t="inlineStr"/>
    </row>
    <row r="14" ht="22" customHeight="1">
      <c r="A14" s="11" t="inlineStr"/>
      <c r="B14" s="11" t="inlineStr"/>
      <c r="C14" s="49" t="n"/>
      <c r="D14" s="11" t="inlineStr"/>
      <c r="E14" s="35" t="inlineStr"/>
      <c r="F14" s="35" t="inlineStr"/>
      <c r="G14" s="35" t="inlineStr"/>
      <c r="H14" s="11" t="inlineStr"/>
      <c r="I14" s="67">
        <f>IF(AND(G14&lt;&gt;"",H14&lt;&gt;""),G14*H14,"")</f>
        <v/>
      </c>
      <c r="J14" s="11" t="inlineStr"/>
      <c r="K14" s="11" t="inlineStr"/>
      <c r="L14" s="11" t="inlineStr"/>
    </row>
    <row r="15" ht="22" customHeight="1">
      <c r="A15" s="17" t="inlineStr"/>
      <c r="B15" s="17" t="inlineStr"/>
      <c r="C15" s="49" t="n"/>
      <c r="D15" s="17" t="inlineStr"/>
      <c r="E15" s="35" t="inlineStr"/>
      <c r="F15" s="35" t="inlineStr"/>
      <c r="G15" s="35" t="inlineStr"/>
      <c r="H15" s="17" t="inlineStr"/>
      <c r="I15" s="94">
        <f>IF(AND(G15&lt;&gt;"",H15&lt;&gt;""),G15*H15,"")</f>
        <v/>
      </c>
      <c r="J15" s="17" t="inlineStr"/>
      <c r="K15" s="17" t="inlineStr"/>
      <c r="L15" s="17" t="inlineStr"/>
    </row>
    <row r="16" ht="22" customHeight="1">
      <c r="A16" s="11" t="inlineStr"/>
      <c r="B16" s="11" t="inlineStr"/>
      <c r="C16" s="49" t="n"/>
      <c r="D16" s="11" t="inlineStr"/>
      <c r="E16" s="35" t="inlineStr"/>
      <c r="F16" s="35" t="inlineStr"/>
      <c r="G16" s="35" t="inlineStr"/>
      <c r="H16" s="11" t="inlineStr"/>
      <c r="I16" s="67">
        <f>IF(AND(G16&lt;&gt;"",H16&lt;&gt;""),G16*H16,"")</f>
        <v/>
      </c>
      <c r="J16" s="11" t="inlineStr"/>
      <c r="K16" s="11" t="inlineStr"/>
      <c r="L16" s="11" t="inlineStr"/>
    </row>
    <row r="17" ht="22" customHeight="1">
      <c r="A17" s="17" t="inlineStr"/>
      <c r="B17" s="17" t="inlineStr"/>
      <c r="C17" s="49" t="n"/>
      <c r="D17" s="17" t="inlineStr"/>
      <c r="E17" s="35" t="inlineStr"/>
      <c r="F17" s="35" t="inlineStr"/>
      <c r="G17" s="35" t="inlineStr"/>
      <c r="H17" s="17" t="inlineStr"/>
      <c r="I17" s="94">
        <f>IF(AND(G17&lt;&gt;"",H17&lt;&gt;""),G17*H17,"")</f>
        <v/>
      </c>
      <c r="J17" s="17" t="inlineStr"/>
      <c r="K17" s="17" t="inlineStr"/>
      <c r="L17" s="17" t="inlineStr"/>
    </row>
    <row r="18" ht="22" customHeight="1">
      <c r="A18" s="11" t="inlineStr"/>
      <c r="B18" s="11" t="inlineStr"/>
      <c r="C18" s="49" t="n"/>
      <c r="D18" s="11" t="inlineStr"/>
      <c r="E18" s="35" t="inlineStr"/>
      <c r="F18" s="35" t="inlineStr"/>
      <c r="G18" s="35" t="inlineStr"/>
      <c r="H18" s="11" t="inlineStr"/>
      <c r="I18" s="67">
        <f>IF(AND(G18&lt;&gt;"",H18&lt;&gt;""),G18*H18,"")</f>
        <v/>
      </c>
      <c r="J18" s="11" t="inlineStr"/>
      <c r="K18" s="11" t="inlineStr"/>
      <c r="L18" s="11" t="inlineStr"/>
    </row>
    <row r="19" ht="22" customHeight="1">
      <c r="A19" s="17" t="inlineStr"/>
      <c r="B19" s="17" t="inlineStr"/>
      <c r="C19" s="49" t="n"/>
      <c r="D19" s="17" t="inlineStr"/>
      <c r="E19" s="35" t="inlineStr"/>
      <c r="F19" s="35" t="inlineStr"/>
      <c r="G19" s="35" t="inlineStr"/>
      <c r="H19" s="17" t="inlineStr"/>
      <c r="I19" s="94">
        <f>IF(AND(G19&lt;&gt;"",H19&lt;&gt;""),G19*H19,"")</f>
        <v/>
      </c>
      <c r="J19" s="17" t="inlineStr"/>
      <c r="K19" s="17" t="inlineStr"/>
      <c r="L19" s="17" t="inlineStr"/>
    </row>
    <row r="20" ht="22" customHeight="1">
      <c r="A20" s="11" t="inlineStr"/>
      <c r="B20" s="11" t="inlineStr"/>
      <c r="C20" s="49" t="n"/>
      <c r="D20" s="11" t="inlineStr"/>
      <c r="E20" s="35" t="inlineStr"/>
      <c r="F20" s="35" t="inlineStr"/>
      <c r="G20" s="35" t="inlineStr"/>
      <c r="H20" s="11" t="inlineStr"/>
      <c r="I20" s="67">
        <f>IF(AND(G20&lt;&gt;"",H20&lt;&gt;""),G20*H20,"")</f>
        <v/>
      </c>
      <c r="J20" s="11" t="inlineStr"/>
      <c r="K20" s="11" t="inlineStr"/>
      <c r="L20" s="11" t="inlineStr"/>
    </row>
    <row r="21" ht="22" customHeight="1">
      <c r="A21" s="17" t="inlineStr"/>
      <c r="B21" s="17" t="inlineStr"/>
      <c r="C21" s="49" t="n"/>
      <c r="D21" s="17" t="inlineStr"/>
      <c r="E21" s="35" t="inlineStr"/>
      <c r="F21" s="35" t="inlineStr"/>
      <c r="G21" s="35" t="inlineStr"/>
      <c r="H21" s="17" t="inlineStr"/>
      <c r="I21" s="94">
        <f>IF(AND(G21&lt;&gt;"",H21&lt;&gt;""),G21*H21,"")</f>
        <v/>
      </c>
      <c r="J21" s="17" t="inlineStr"/>
      <c r="K21" s="17" t="inlineStr"/>
      <c r="L21" s="17" t="inlineStr"/>
    </row>
    <row r="22" ht="22" customHeight="1">
      <c r="A22" s="11" t="inlineStr"/>
      <c r="B22" s="11" t="inlineStr"/>
      <c r="C22" s="49" t="n"/>
      <c r="D22" s="11" t="inlineStr"/>
      <c r="E22" s="35" t="inlineStr"/>
      <c r="F22" s="35" t="inlineStr"/>
      <c r="G22" s="35" t="inlineStr"/>
      <c r="H22" s="11" t="inlineStr"/>
      <c r="I22" s="67">
        <f>IF(AND(G22&lt;&gt;"",H22&lt;&gt;""),G22*H22,"")</f>
        <v/>
      </c>
      <c r="J22" s="11" t="inlineStr"/>
      <c r="K22" s="11" t="inlineStr"/>
      <c r="L22" s="11" t="inlineStr"/>
    </row>
    <row r="23" ht="22" customHeight="1">
      <c r="A23" s="17" t="inlineStr"/>
      <c r="B23" s="17" t="inlineStr"/>
      <c r="C23" s="49" t="n"/>
      <c r="D23" s="17" t="inlineStr"/>
      <c r="E23" s="35" t="inlineStr"/>
      <c r="F23" s="35" t="inlineStr"/>
      <c r="G23" s="35" t="inlineStr"/>
      <c r="H23" s="17" t="inlineStr"/>
      <c r="I23" s="94">
        <f>IF(AND(G23&lt;&gt;"",H23&lt;&gt;""),G23*H23,"")</f>
        <v/>
      </c>
      <c r="J23" s="17" t="inlineStr"/>
      <c r="K23" s="17" t="inlineStr"/>
      <c r="L23" s="17" t="inlineStr"/>
    </row>
    <row r="24" ht="22" customHeight="1">
      <c r="A24" s="11" t="inlineStr"/>
      <c r="B24" s="11" t="inlineStr"/>
      <c r="C24" s="49" t="n"/>
      <c r="D24" s="11" t="inlineStr"/>
      <c r="E24" s="35" t="inlineStr"/>
      <c r="F24" s="35" t="inlineStr"/>
      <c r="G24" s="35" t="inlineStr"/>
      <c r="H24" s="11" t="inlineStr"/>
      <c r="I24" s="67">
        <f>IF(AND(G24&lt;&gt;"",H24&lt;&gt;""),G24*H24,"")</f>
        <v/>
      </c>
      <c r="J24" s="11" t="inlineStr"/>
      <c r="K24" s="11" t="inlineStr"/>
      <c r="L24" s="11" t="inlineStr"/>
    </row>
    <row r="25" ht="22" customHeight="1">
      <c r="A25" s="17" t="inlineStr"/>
      <c r="B25" s="17" t="inlineStr"/>
      <c r="C25" s="49" t="n"/>
      <c r="D25" s="17" t="inlineStr"/>
      <c r="E25" s="35" t="inlineStr"/>
      <c r="F25" s="35" t="inlineStr"/>
      <c r="G25" s="35" t="inlineStr"/>
      <c r="H25" s="17" t="inlineStr"/>
      <c r="I25" s="94">
        <f>IF(AND(G25&lt;&gt;"",H25&lt;&gt;""),G25*H25,"")</f>
        <v/>
      </c>
      <c r="J25" s="17" t="inlineStr"/>
      <c r="K25" s="17" t="inlineStr"/>
      <c r="L25" s="17" t="inlineStr"/>
    </row>
    <row r="26" ht="22" customHeight="1">
      <c r="A26" s="11" t="inlineStr"/>
      <c r="B26" s="11" t="inlineStr"/>
      <c r="C26" s="49" t="n"/>
      <c r="D26" s="11" t="inlineStr"/>
      <c r="E26" s="35" t="inlineStr"/>
      <c r="F26" s="35" t="inlineStr"/>
      <c r="G26" s="35" t="inlineStr"/>
      <c r="H26" s="11" t="inlineStr"/>
      <c r="I26" s="67">
        <f>IF(AND(G26&lt;&gt;"",H26&lt;&gt;""),G26*H26,"")</f>
        <v/>
      </c>
      <c r="J26" s="11" t="inlineStr"/>
      <c r="K26" s="11" t="inlineStr"/>
      <c r="L26" s="11" t="inlineStr"/>
    </row>
    <row r="28" ht="22" customHeight="1">
      <c r="A28" s="88" t="inlineStr">
        <is>
          <t>TOTAL MENSUEL FACTURABLE (USD)</t>
        </is>
      </c>
      <c r="I28" s="95">
        <f>SUM(I10:I27)</f>
        <v/>
      </c>
      <c r="J28" s="106" t="n"/>
      <c r="K28" s="81" t="inlineStr"/>
      <c r="L28" s="81" t="inlineStr"/>
    </row>
    <row r="30" ht="14" customHeight="1">
      <c r="A30" s="66" t="inlineStr">
        <is>
          <t>Ce tableau est transmis à Raphael KYUNGU et au DFI chaque lundi dans le rapport hebdomadaire HORIZON.</t>
        </is>
      </c>
    </row>
    <row r="32" ht="13" customHeight="1">
      <c r="A32" s="41" t="inlineStr">
        <is>
          <t>DOC-MT-02 — Tableau de Suivi des Prestations — Ets HORIZON — KILIMA Holdings</t>
        </is>
      </c>
    </row>
  </sheetData>
  <mergeCells count="30">
    <mergeCell ref="B16:C16"/>
    <mergeCell ref="A8:D8"/>
    <mergeCell ref="B25:C25"/>
    <mergeCell ref="B22:C22"/>
    <mergeCell ref="B18:C18"/>
    <mergeCell ref="A3:L3"/>
    <mergeCell ref="E8:L8"/>
    <mergeCell ref="B12:C12"/>
    <mergeCell ref="B21:C21"/>
    <mergeCell ref="B11:C11"/>
    <mergeCell ref="A32:L32"/>
    <mergeCell ref="B23:C23"/>
    <mergeCell ref="B14:C14"/>
    <mergeCell ref="B17:C17"/>
    <mergeCell ref="I2:L2"/>
    <mergeCell ref="I28:J28"/>
    <mergeCell ref="A4:L4"/>
    <mergeCell ref="B13:C13"/>
    <mergeCell ref="A10:L10"/>
    <mergeCell ref="B19:C19"/>
    <mergeCell ref="A2:H2"/>
    <mergeCell ref="A7:D7"/>
    <mergeCell ref="A30:L30"/>
    <mergeCell ref="B24:C24"/>
    <mergeCell ref="B15:C15"/>
    <mergeCell ref="E7:L7"/>
    <mergeCell ref="B20:C20"/>
    <mergeCell ref="A28:H28"/>
    <mergeCell ref="A6:L6"/>
    <mergeCell ref="B26:C26"/>
  </mergeCells>
  <pageMargins left="0.5" right="0.5" top="0.6" bottom="0.6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:N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/>
    <row r="2" ht="26" customHeight="1">
      <c r="A2" s="30" t="inlineStr">
        <is>
          <t>KILIMA Holdings</t>
        </is>
      </c>
      <c r="I2" s="31" t="inlineStr">
        <is>
          <t>DOC-MT-03</t>
        </is>
      </c>
    </row>
    <row r="3" ht="18" customHeight="1">
      <c r="A3" s="46" t="inlineStr">
        <is>
          <t>TABLEAU DE SUIVI DU BUDGET DÉPARTEMENT TECHNIQUE</t>
        </is>
      </c>
    </row>
    <row r="4" ht="16" customHeight="1">
      <c r="A4" s="47" t="inlineStr">
        <is>
          <t>Ets HORIZON — Tenu par Vinciane — Mis à jour après chaque dépense maintenance</t>
        </is>
      </c>
    </row>
    <row r="5" ht="6" customHeight="1"/>
    <row r="6" ht="16" customHeight="1">
      <c r="A6" s="13" t="inlineStr">
        <is>
          <t>En-tête</t>
        </is>
      </c>
    </row>
    <row r="7" ht="20" customHeight="1">
      <c r="A7" s="36" t="inlineStr">
        <is>
          <t>Mois concerné</t>
        </is>
      </c>
      <c r="B7" s="100" t="n"/>
      <c r="C7" s="100" t="n"/>
      <c r="D7" s="49" t="n"/>
      <c r="E7" s="35" t="inlineStr"/>
      <c r="F7" s="100" t="n"/>
      <c r="G7" s="100" t="n"/>
      <c r="H7" s="100" t="n"/>
      <c r="I7" s="100" t="n"/>
      <c r="J7" s="100" t="n"/>
      <c r="K7" s="100" t="n"/>
      <c r="L7" s="49" t="n"/>
    </row>
    <row r="8" ht="20" customHeight="1">
      <c r="A8" s="36" t="inlineStr">
        <is>
          <t>Budget total alloué DT (USD)</t>
        </is>
      </c>
      <c r="B8" s="100" t="n"/>
      <c r="C8" s="100" t="n"/>
      <c r="D8" s="49" t="n"/>
      <c r="E8" s="35" t="inlineStr"/>
      <c r="F8" s="100" t="n"/>
      <c r="G8" s="100" t="n"/>
      <c r="H8" s="100" t="n"/>
      <c r="I8" s="100" t="n"/>
      <c r="J8" s="100" t="n"/>
      <c r="K8" s="100" t="n"/>
      <c r="L8" s="49" t="n"/>
    </row>
    <row r="9" ht="20" customHeight="1">
      <c r="A9" s="36" t="inlineStr">
        <is>
          <t>Tenu par (Vinciane)</t>
        </is>
      </c>
      <c r="B9" s="100" t="n"/>
      <c r="C9" s="100" t="n"/>
      <c r="D9" s="49" t="n"/>
      <c r="E9" s="35" t="inlineStr"/>
      <c r="F9" s="100" t="n"/>
      <c r="G9" s="100" t="n"/>
      <c r="H9" s="100" t="n"/>
      <c r="I9" s="100" t="n"/>
      <c r="J9" s="100" t="n"/>
      <c r="K9" s="100" t="n"/>
      <c r="L9" s="49" t="n"/>
    </row>
    <row r="11" ht="16" customHeight="1">
      <c r="A11" s="13" t="inlineStr">
        <is>
          <t>Suivi des dépenses par engin et par catégorie</t>
        </is>
      </c>
    </row>
    <row r="12" ht="28" customHeight="1">
      <c r="A12" s="61" t="inlineStr">
        <is>
          <t>Date</t>
        </is>
      </c>
      <c r="B12" s="61" t="inlineStr">
        <is>
          <t>Engin concerné</t>
        </is>
      </c>
      <c r="C12" s="106" t="n"/>
      <c r="D12" s="61" t="inlineStr">
        <is>
          <t>Nature dépense</t>
        </is>
      </c>
      <c r="E12" s="106" t="n"/>
      <c r="F12" s="61" t="inlineStr">
        <is>
          <t>Catégorie
(Pièces/MO/Carburant/Autre)</t>
        </is>
      </c>
      <c r="G12" s="61" t="inlineStr">
        <is>
          <t>Fournisseur</t>
        </is>
      </c>
      <c r="H12" s="106" t="n"/>
      <c r="I12" s="61" t="inlineStr">
        <is>
          <t>Réf. DOC-G-02</t>
        </is>
      </c>
      <c r="J12" s="61" t="inlineStr">
        <is>
          <t>Montant
USD</t>
        </is>
      </c>
      <c r="K12" s="61" t="inlineStr">
        <is>
          <t>Immob. ou
Charge ?</t>
        </is>
      </c>
      <c r="L12" s="61" t="inlineStr">
        <is>
          <t>Revenus engin
ce mois (USD)</t>
        </is>
      </c>
      <c r="M12" s="61" t="inlineStr">
        <is>
          <t>Ratio
maint./CA</t>
        </is>
      </c>
      <c r="N12" s="61" t="inlineStr">
        <is>
          <t>Obs.</t>
        </is>
      </c>
    </row>
    <row r="13" ht="20" customHeight="1">
      <c r="A13" s="35" t="inlineStr"/>
      <c r="B13" s="11" t="inlineStr"/>
      <c r="C13" s="49" t="n"/>
      <c r="D13" s="11" t="inlineStr"/>
      <c r="E13" s="49" t="n"/>
      <c r="F13" s="11" t="inlineStr"/>
      <c r="G13" s="35" t="inlineStr"/>
      <c r="H13" s="49" t="n"/>
      <c r="I13" s="11" t="inlineStr"/>
      <c r="J13" s="11" t="inlineStr"/>
      <c r="K13" s="11" t="inlineStr"/>
      <c r="L13" s="11" t="inlineStr"/>
      <c r="M13" s="11" t="inlineStr"/>
      <c r="N13" s="73">
        <f>IF(AND(I13&lt;&gt;"",J13&lt;&gt;"",J13&lt;&gt;0),I13/J13,"")</f>
        <v/>
      </c>
    </row>
    <row r="14" ht="20" customHeight="1">
      <c r="A14" s="35" t="inlineStr"/>
      <c r="B14" s="17" t="inlineStr"/>
      <c r="C14" s="49" t="n"/>
      <c r="D14" s="17" t="inlineStr"/>
      <c r="E14" s="49" t="n"/>
      <c r="F14" s="17" t="inlineStr"/>
      <c r="G14" s="35" t="inlineStr"/>
      <c r="H14" s="49" t="n"/>
      <c r="I14" s="17" t="inlineStr"/>
      <c r="J14" s="17" t="inlineStr"/>
      <c r="K14" s="17" t="inlineStr"/>
      <c r="L14" s="17" t="inlineStr"/>
      <c r="M14" s="17" t="inlineStr"/>
      <c r="N14" s="96" t="inlineStr"/>
    </row>
    <row r="15" ht="20" customHeight="1">
      <c r="A15" s="35" t="inlineStr"/>
      <c r="B15" s="11" t="inlineStr"/>
      <c r="C15" s="49" t="n"/>
      <c r="D15" s="11" t="inlineStr"/>
      <c r="E15" s="49" t="n"/>
      <c r="F15" s="11" t="inlineStr"/>
      <c r="G15" s="35" t="inlineStr"/>
      <c r="H15" s="49" t="n"/>
      <c r="I15" s="11" t="inlineStr"/>
      <c r="J15" s="11" t="inlineStr"/>
      <c r="K15" s="11" t="inlineStr"/>
      <c r="L15" s="11" t="inlineStr"/>
      <c r="M15" s="11" t="inlineStr"/>
      <c r="N15" s="73" t="inlineStr"/>
    </row>
    <row r="16" ht="20" customHeight="1">
      <c r="A16" s="35" t="inlineStr"/>
      <c r="B16" s="17" t="inlineStr"/>
      <c r="C16" s="49" t="n"/>
      <c r="D16" s="17" t="inlineStr"/>
      <c r="E16" s="49" t="n"/>
      <c r="F16" s="17" t="inlineStr"/>
      <c r="G16" s="35" t="inlineStr"/>
      <c r="H16" s="49" t="n"/>
      <c r="I16" s="17" t="inlineStr"/>
      <c r="J16" s="17" t="inlineStr"/>
      <c r="K16" s="17" t="inlineStr"/>
      <c r="L16" s="17" t="inlineStr"/>
      <c r="M16" s="17" t="inlineStr"/>
      <c r="N16" s="96" t="inlineStr"/>
    </row>
    <row r="17" ht="20" customHeight="1">
      <c r="A17" s="35" t="inlineStr"/>
      <c r="B17" s="11" t="inlineStr"/>
      <c r="C17" s="49" t="n"/>
      <c r="D17" s="11" t="inlineStr"/>
      <c r="E17" s="49" t="n"/>
      <c r="F17" s="11" t="inlineStr"/>
      <c r="G17" s="35" t="inlineStr"/>
      <c r="H17" s="49" t="n"/>
      <c r="I17" s="11" t="inlineStr"/>
      <c r="J17" s="11" t="inlineStr"/>
      <c r="K17" s="11" t="inlineStr"/>
      <c r="L17" s="11" t="inlineStr"/>
      <c r="M17" s="11" t="inlineStr"/>
      <c r="N17" s="73" t="inlineStr"/>
    </row>
    <row r="18" ht="20" customHeight="1">
      <c r="A18" s="35" t="inlineStr"/>
      <c r="B18" s="17" t="inlineStr"/>
      <c r="C18" s="49" t="n"/>
      <c r="D18" s="17" t="inlineStr"/>
      <c r="E18" s="49" t="n"/>
      <c r="F18" s="17" t="inlineStr"/>
      <c r="G18" s="35" t="inlineStr"/>
      <c r="H18" s="49" t="n"/>
      <c r="I18" s="17" t="inlineStr"/>
      <c r="J18" s="17" t="inlineStr"/>
      <c r="K18" s="17" t="inlineStr"/>
      <c r="L18" s="17" t="inlineStr"/>
      <c r="M18" s="17" t="inlineStr"/>
      <c r="N18" s="96" t="inlineStr"/>
    </row>
    <row r="19" ht="20" customHeight="1">
      <c r="A19" s="35" t="inlineStr"/>
      <c r="B19" s="11" t="inlineStr"/>
      <c r="C19" s="49" t="n"/>
      <c r="D19" s="11" t="inlineStr"/>
      <c r="E19" s="49" t="n"/>
      <c r="F19" s="11" t="inlineStr"/>
      <c r="G19" s="35" t="inlineStr"/>
      <c r="H19" s="49" t="n"/>
      <c r="I19" s="11" t="inlineStr"/>
      <c r="J19" s="11" t="inlineStr"/>
      <c r="K19" s="11" t="inlineStr"/>
      <c r="L19" s="11" t="inlineStr"/>
      <c r="M19" s="11" t="inlineStr"/>
      <c r="N19" s="73" t="inlineStr"/>
    </row>
    <row r="20" ht="20" customHeight="1">
      <c r="A20" s="35" t="inlineStr"/>
      <c r="B20" s="17" t="inlineStr"/>
      <c r="C20" s="49" t="n"/>
      <c r="D20" s="17" t="inlineStr"/>
      <c r="E20" s="49" t="n"/>
      <c r="F20" s="17" t="inlineStr"/>
      <c r="G20" s="35" t="inlineStr"/>
      <c r="H20" s="49" t="n"/>
      <c r="I20" s="17" t="inlineStr"/>
      <c r="J20" s="17" t="inlineStr"/>
      <c r="K20" s="17" t="inlineStr"/>
      <c r="L20" s="17" t="inlineStr"/>
      <c r="M20" s="17" t="inlineStr"/>
      <c r="N20" s="96" t="inlineStr"/>
    </row>
    <row r="21" ht="20" customHeight="1">
      <c r="A21" s="35" t="inlineStr"/>
      <c r="B21" s="11" t="inlineStr"/>
      <c r="C21" s="49" t="n"/>
      <c r="D21" s="11" t="inlineStr"/>
      <c r="E21" s="49" t="n"/>
      <c r="F21" s="11" t="inlineStr"/>
      <c r="G21" s="35" t="inlineStr"/>
      <c r="H21" s="49" t="n"/>
      <c r="I21" s="11" t="inlineStr"/>
      <c r="J21" s="11" t="inlineStr"/>
      <c r="K21" s="11" t="inlineStr"/>
      <c r="L21" s="11" t="inlineStr"/>
      <c r="M21" s="11" t="inlineStr"/>
      <c r="N21" s="73" t="inlineStr"/>
    </row>
    <row r="22" ht="20" customHeight="1">
      <c r="A22" s="35" t="inlineStr"/>
      <c r="B22" s="17" t="inlineStr"/>
      <c r="C22" s="49" t="n"/>
      <c r="D22" s="17" t="inlineStr"/>
      <c r="E22" s="49" t="n"/>
      <c r="F22" s="17" t="inlineStr"/>
      <c r="G22" s="35" t="inlineStr"/>
      <c r="H22" s="49" t="n"/>
      <c r="I22" s="17" t="inlineStr"/>
      <c r="J22" s="17" t="inlineStr"/>
      <c r="K22" s="17" t="inlineStr"/>
      <c r="L22" s="17" t="inlineStr"/>
      <c r="M22" s="17" t="inlineStr"/>
      <c r="N22" s="96" t="inlineStr"/>
    </row>
    <row r="23" ht="20" customHeight="1">
      <c r="A23" s="35" t="inlineStr"/>
      <c r="B23" s="11" t="inlineStr"/>
      <c r="C23" s="49" t="n"/>
      <c r="D23" s="11" t="inlineStr"/>
      <c r="E23" s="49" t="n"/>
      <c r="F23" s="11" t="inlineStr"/>
      <c r="G23" s="35" t="inlineStr"/>
      <c r="H23" s="49" t="n"/>
      <c r="I23" s="11" t="inlineStr"/>
      <c r="J23" s="11" t="inlineStr"/>
      <c r="K23" s="11" t="inlineStr"/>
      <c r="L23" s="11" t="inlineStr"/>
      <c r="M23" s="11" t="inlineStr"/>
      <c r="N23" s="73" t="inlineStr"/>
    </row>
    <row r="24" ht="20" customHeight="1">
      <c r="A24" s="35" t="inlineStr"/>
      <c r="B24" s="17" t="inlineStr"/>
      <c r="C24" s="49" t="n"/>
      <c r="D24" s="17" t="inlineStr"/>
      <c r="E24" s="49" t="n"/>
      <c r="F24" s="17" t="inlineStr"/>
      <c r="G24" s="35" t="inlineStr"/>
      <c r="H24" s="49" t="n"/>
      <c r="I24" s="17" t="inlineStr"/>
      <c r="J24" s="17" t="inlineStr"/>
      <c r="K24" s="17" t="inlineStr"/>
      <c r="L24" s="17" t="inlineStr"/>
      <c r="M24" s="17" t="inlineStr"/>
      <c r="N24" s="96" t="inlineStr"/>
    </row>
    <row r="25" ht="20" customHeight="1">
      <c r="A25" s="35" t="inlineStr"/>
      <c r="B25" s="11" t="inlineStr"/>
      <c r="C25" s="49" t="n"/>
      <c r="D25" s="11" t="inlineStr"/>
      <c r="E25" s="49" t="n"/>
      <c r="F25" s="11" t="inlineStr"/>
      <c r="G25" s="35" t="inlineStr"/>
      <c r="H25" s="49" t="n"/>
      <c r="I25" s="11" t="inlineStr"/>
      <c r="J25" s="11" t="inlineStr"/>
      <c r="K25" s="11" t="inlineStr"/>
      <c r="L25" s="11" t="inlineStr"/>
      <c r="M25" s="11" t="inlineStr"/>
      <c r="N25" s="73" t="inlineStr"/>
    </row>
    <row r="26" ht="20" customHeight="1">
      <c r="A26" s="35" t="inlineStr"/>
      <c r="B26" s="17" t="inlineStr"/>
      <c r="C26" s="49" t="n"/>
      <c r="D26" s="17" t="inlineStr"/>
      <c r="E26" s="49" t="n"/>
      <c r="F26" s="17" t="inlineStr"/>
      <c r="G26" s="35" t="inlineStr"/>
      <c r="H26" s="49" t="n"/>
      <c r="I26" s="17" t="inlineStr"/>
      <c r="J26" s="17" t="inlineStr"/>
      <c r="K26" s="17" t="inlineStr"/>
      <c r="L26" s="17" t="inlineStr"/>
      <c r="M26" s="17" t="inlineStr"/>
      <c r="N26" s="96" t="inlineStr"/>
    </row>
    <row r="27" ht="20" customHeight="1">
      <c r="A27" s="35" t="inlineStr"/>
      <c r="B27" s="11" t="inlineStr"/>
      <c r="C27" s="49" t="n"/>
      <c r="D27" s="11" t="inlineStr"/>
      <c r="E27" s="49" t="n"/>
      <c r="F27" s="11" t="inlineStr"/>
      <c r="G27" s="35" t="inlineStr"/>
      <c r="H27" s="49" t="n"/>
      <c r="I27" s="11" t="inlineStr"/>
      <c r="J27" s="11" t="inlineStr"/>
      <c r="K27" s="11" t="inlineStr"/>
      <c r="L27" s="11" t="inlineStr"/>
      <c r="M27" s="11" t="inlineStr"/>
      <c r="N27" s="73" t="inlineStr"/>
    </row>
    <row r="28" ht="20" customHeight="1">
      <c r="A28" s="35" t="inlineStr"/>
      <c r="B28" s="17" t="inlineStr"/>
      <c r="C28" s="49" t="n"/>
      <c r="D28" s="17" t="inlineStr"/>
      <c r="E28" s="49" t="n"/>
      <c r="F28" s="17" t="inlineStr"/>
      <c r="G28" s="35" t="inlineStr"/>
      <c r="H28" s="49" t="n"/>
      <c r="I28" s="17" t="inlineStr"/>
      <c r="J28" s="17" t="inlineStr"/>
      <c r="K28" s="17" t="inlineStr"/>
      <c r="L28" s="17" t="inlineStr"/>
      <c r="M28" s="17" t="inlineStr"/>
      <c r="N28" s="96" t="inlineStr"/>
    </row>
    <row r="29" ht="20" customHeight="1">
      <c r="A29" s="35" t="inlineStr"/>
      <c r="B29" s="11" t="inlineStr"/>
      <c r="C29" s="49" t="n"/>
      <c r="D29" s="11" t="inlineStr"/>
      <c r="E29" s="49" t="n"/>
      <c r="F29" s="11" t="inlineStr"/>
      <c r="G29" s="35" t="inlineStr"/>
      <c r="H29" s="49" t="n"/>
      <c r="I29" s="11" t="inlineStr"/>
      <c r="J29" s="11" t="inlineStr"/>
      <c r="K29" s="11" t="inlineStr"/>
      <c r="L29" s="11" t="inlineStr"/>
      <c r="M29" s="11" t="inlineStr"/>
      <c r="N29" s="73" t="inlineStr"/>
    </row>
    <row r="30" ht="20" customHeight="1">
      <c r="A30" s="35" t="inlineStr"/>
      <c r="B30" s="17" t="inlineStr"/>
      <c r="C30" s="49" t="n"/>
      <c r="D30" s="17" t="inlineStr"/>
      <c r="E30" s="49" t="n"/>
      <c r="F30" s="17" t="inlineStr"/>
      <c r="G30" s="35" t="inlineStr"/>
      <c r="H30" s="49" t="n"/>
      <c r="I30" s="17" t="inlineStr"/>
      <c r="J30" s="17" t="inlineStr"/>
      <c r="K30" s="17" t="inlineStr"/>
      <c r="L30" s="17" t="inlineStr"/>
      <c r="M30" s="17" t="inlineStr"/>
      <c r="N30" s="96" t="inlineStr"/>
    </row>
    <row r="31" ht="20" customHeight="1">
      <c r="A31" s="35" t="inlineStr"/>
      <c r="B31" s="11" t="inlineStr"/>
      <c r="C31" s="49" t="n"/>
      <c r="D31" s="11" t="inlineStr"/>
      <c r="E31" s="49" t="n"/>
      <c r="F31" s="11" t="inlineStr"/>
      <c r="G31" s="35" t="inlineStr"/>
      <c r="H31" s="49" t="n"/>
      <c r="I31" s="11" t="inlineStr"/>
      <c r="J31" s="11" t="inlineStr"/>
      <c r="K31" s="11" t="inlineStr"/>
      <c r="L31" s="11" t="inlineStr"/>
      <c r="M31" s="11" t="inlineStr"/>
      <c r="N31" s="73" t="inlineStr"/>
    </row>
    <row r="32" ht="20" customHeight="1">
      <c r="A32" s="35" t="inlineStr"/>
      <c r="B32" s="17" t="inlineStr"/>
      <c r="C32" s="49" t="n"/>
      <c r="D32" s="17" t="inlineStr"/>
      <c r="E32" s="49" t="n"/>
      <c r="F32" s="17" t="inlineStr"/>
      <c r="G32" s="35" t="inlineStr"/>
      <c r="H32" s="49" t="n"/>
      <c r="I32" s="17" t="inlineStr"/>
      <c r="J32" s="17" t="inlineStr"/>
      <c r="K32" s="17" t="inlineStr"/>
      <c r="L32" s="17" t="inlineStr"/>
      <c r="M32" s="17" t="inlineStr"/>
      <c r="N32" s="96" t="inlineStr"/>
    </row>
    <row r="34" ht="22" customHeight="1">
      <c r="A34" s="88" t="inlineStr">
        <is>
          <t>TOTAL DÉPENSES MAINTENANCE DU MOIS</t>
        </is>
      </c>
      <c r="I34" s="95">
        <f>SUM(I10:I33)</f>
        <v/>
      </c>
      <c r="J34" s="106" t="n"/>
      <c r="K34" s="71" t="inlineStr">
        <is>
          <t>USD</t>
        </is>
      </c>
    </row>
    <row r="35" ht="22" customHeight="1">
      <c r="A35" s="97" t="inlineStr">
        <is>
          <t>BUDGET RESTANT DU MOIS</t>
        </is>
      </c>
      <c r="I35" s="98">
        <f>IF(F8&lt;&gt;"",F8-I34,"")</f>
        <v/>
      </c>
      <c r="J35" s="104" t="n"/>
      <c r="K35" s="71" t="inlineStr">
        <is>
          <t>USD</t>
        </is>
      </c>
    </row>
    <row r="37" ht="14" customHeight="1">
      <c r="A37" s="84" t="inlineStr">
        <is>
          <t>Ratio cible maintenance / CA : à définir par DFI + DT Ruffin. Tout dépassement du ratio cible sur un engin déclenche une analyse de rentabilité.</t>
        </is>
      </c>
    </row>
    <row r="39" ht="13" customHeight="1">
      <c r="A39" s="41" t="inlineStr">
        <is>
          <t>DOC-MT-03 — Budget Département Technique — Ets HORIZON — KILIMA Holdings</t>
        </is>
      </c>
    </row>
  </sheetData>
  <mergeCells count="83">
    <mergeCell ref="D20:E20"/>
    <mergeCell ref="G21:H21"/>
    <mergeCell ref="A39:N39"/>
    <mergeCell ref="B22:C22"/>
    <mergeCell ref="D22:E22"/>
    <mergeCell ref="G23:H23"/>
    <mergeCell ref="B31:C31"/>
    <mergeCell ref="D31:E31"/>
    <mergeCell ref="B12:C12"/>
    <mergeCell ref="B21:C21"/>
    <mergeCell ref="D13:E13"/>
    <mergeCell ref="B14:C14"/>
    <mergeCell ref="A37:N37"/>
    <mergeCell ref="G18:H18"/>
    <mergeCell ref="B13:C13"/>
    <mergeCell ref="K35:N35"/>
    <mergeCell ref="A7:D7"/>
    <mergeCell ref="G20:H20"/>
    <mergeCell ref="B24:C24"/>
    <mergeCell ref="D24:E24"/>
    <mergeCell ref="A6:L6"/>
    <mergeCell ref="B32:C32"/>
    <mergeCell ref="B26:C26"/>
    <mergeCell ref="G22:H22"/>
    <mergeCell ref="D26:E26"/>
    <mergeCell ref="G12:H12"/>
    <mergeCell ref="B16:C16"/>
    <mergeCell ref="B25:C25"/>
    <mergeCell ref="D19:E19"/>
    <mergeCell ref="B18:C18"/>
    <mergeCell ref="A3:L3"/>
    <mergeCell ref="B27:C27"/>
    <mergeCell ref="E8:L8"/>
    <mergeCell ref="A9:D9"/>
    <mergeCell ref="A4:L4"/>
    <mergeCell ref="E9:L9"/>
    <mergeCell ref="B29:C29"/>
    <mergeCell ref="G24:H24"/>
    <mergeCell ref="A2:H2"/>
    <mergeCell ref="G26:H26"/>
    <mergeCell ref="I35:J35"/>
    <mergeCell ref="B15:C15"/>
    <mergeCell ref="D15:E15"/>
    <mergeCell ref="G16:H16"/>
    <mergeCell ref="D29:E29"/>
    <mergeCell ref="G25:H25"/>
    <mergeCell ref="D23:E23"/>
    <mergeCell ref="A8:D8"/>
    <mergeCell ref="D27:E27"/>
    <mergeCell ref="G13:H13"/>
    <mergeCell ref="I2:L2"/>
    <mergeCell ref="B17:C17"/>
    <mergeCell ref="D17:E17"/>
    <mergeCell ref="G15:H15"/>
    <mergeCell ref="B19:C19"/>
    <mergeCell ref="B28:C28"/>
    <mergeCell ref="D28:E28"/>
    <mergeCell ref="D12:E12"/>
    <mergeCell ref="D25:E25"/>
    <mergeCell ref="B30:C30"/>
    <mergeCell ref="D30:E30"/>
    <mergeCell ref="A35:H35"/>
    <mergeCell ref="G32:H32"/>
    <mergeCell ref="B20:C20"/>
    <mergeCell ref="D14:E14"/>
    <mergeCell ref="A34:H34"/>
    <mergeCell ref="I34:J34"/>
    <mergeCell ref="G27:H27"/>
    <mergeCell ref="G17:H17"/>
    <mergeCell ref="D21:E21"/>
    <mergeCell ref="G19:H19"/>
    <mergeCell ref="B23:C23"/>
    <mergeCell ref="K34:N34"/>
    <mergeCell ref="D32:E32"/>
    <mergeCell ref="G28:H28"/>
    <mergeCell ref="D16:E16"/>
    <mergeCell ref="G30:H30"/>
    <mergeCell ref="G14:H14"/>
    <mergeCell ref="D18:E18"/>
    <mergeCell ref="G29:H29"/>
    <mergeCell ref="E7:L7"/>
    <mergeCell ref="A11:L11"/>
    <mergeCell ref="G31:H31"/>
  </mergeCells>
  <pageMargins left="0.5" right="0.5" top="0.6" bottom="0.6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2:L4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6" customWidth="1" min="3" max="3"/>
    <col width="10" customWidth="1" min="4" max="4"/>
    <col width="16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/>
    <row r="2" ht="26" customHeight="1">
      <c r="A2" s="30" t="inlineStr">
        <is>
          <t>KILIMA Holdings</t>
        </is>
      </c>
      <c r="I2" s="31" t="inlineStr">
        <is>
          <t>DOC-MT-04</t>
        </is>
      </c>
    </row>
    <row r="3" ht="18" customHeight="1">
      <c r="A3" s="32" t="inlineStr">
        <is>
          <t>FICHE TECHNIQUE CAMION — HISTORIQUE ENTRETIENS</t>
        </is>
      </c>
    </row>
    <row r="4" ht="16" customHeight="1">
      <c r="A4" s="33" t="inlineStr">
        <is>
          <t>KAKO Logistique — Une fiche par camion — Tenue par Ass. Tech. Vinciane</t>
        </is>
      </c>
    </row>
    <row r="5" ht="6" customHeight="1"/>
    <row r="6" ht="16" customHeight="1">
      <c r="A6" s="5" t="inlineStr">
        <is>
          <t>Identification du camion</t>
        </is>
      </c>
    </row>
    <row r="7" ht="20" customHeight="1">
      <c r="A7" s="34" t="inlineStr">
        <is>
          <t>N° / Immatriculation</t>
        </is>
      </c>
      <c r="B7" s="100" t="n"/>
      <c r="C7" s="100" t="n"/>
      <c r="D7" s="49" t="n"/>
      <c r="E7" s="35" t="inlineStr"/>
      <c r="F7" s="100" t="n"/>
      <c r="G7" s="100" t="n"/>
      <c r="H7" s="100" t="n"/>
      <c r="I7" s="100" t="n"/>
      <c r="J7" s="100" t="n"/>
      <c r="K7" s="100" t="n"/>
      <c r="L7" s="49" t="n"/>
    </row>
    <row r="8" ht="20" customHeight="1">
      <c r="A8" s="34" t="inlineStr">
        <is>
          <t>Marque / Modèle</t>
        </is>
      </c>
      <c r="B8" s="100" t="n"/>
      <c r="C8" s="100" t="n"/>
      <c r="D8" s="49" t="n"/>
      <c r="E8" s="35" t="inlineStr"/>
      <c r="F8" s="100" t="n"/>
      <c r="G8" s="100" t="n"/>
      <c r="H8" s="100" t="n"/>
      <c r="I8" s="100" t="n"/>
      <c r="J8" s="100" t="n"/>
      <c r="K8" s="100" t="n"/>
      <c r="L8" s="49" t="n"/>
    </row>
    <row r="9" ht="20" customHeight="1">
      <c r="A9" s="34" t="inlineStr">
        <is>
          <t>Année de mise en service</t>
        </is>
      </c>
      <c r="B9" s="100" t="n"/>
      <c r="C9" s="100" t="n"/>
      <c r="D9" s="49" t="n"/>
      <c r="E9" s="35" t="inlineStr"/>
      <c r="F9" s="100" t="n"/>
      <c r="G9" s="100" t="n"/>
      <c r="H9" s="100" t="n"/>
      <c r="I9" s="100" t="n"/>
      <c r="J9" s="100" t="n"/>
      <c r="K9" s="100" t="n"/>
      <c r="L9" s="49" t="n"/>
    </row>
    <row r="10" ht="20" customHeight="1">
      <c r="A10" s="34" t="inlineStr">
        <is>
          <t>Capacité de charge (tonnes)</t>
        </is>
      </c>
      <c r="B10" s="100" t="n"/>
      <c r="C10" s="100" t="n"/>
      <c r="D10" s="49" t="n"/>
      <c r="E10" s="35" t="inlineStr"/>
      <c r="F10" s="100" t="n"/>
      <c r="G10" s="100" t="n"/>
      <c r="H10" s="100" t="n"/>
      <c r="I10" s="100" t="n"/>
      <c r="J10" s="100" t="n"/>
      <c r="K10" s="100" t="n"/>
      <c r="L10" s="49" t="n"/>
    </row>
    <row r="11" ht="20" customHeight="1">
      <c r="A11" s="34" t="inlineStr">
        <is>
          <t>N° châssis</t>
        </is>
      </c>
      <c r="B11" s="100" t="n"/>
      <c r="C11" s="100" t="n"/>
      <c r="D11" s="49" t="n"/>
      <c r="E11" s="35" t="inlineStr"/>
      <c r="F11" s="100" t="n"/>
      <c r="G11" s="100" t="n"/>
      <c r="H11" s="100" t="n"/>
      <c r="I11" s="100" t="n"/>
      <c r="J11" s="100" t="n"/>
      <c r="K11" s="100" t="n"/>
      <c r="L11" s="49" t="n"/>
    </row>
    <row r="12" ht="20" customHeight="1">
      <c r="A12" s="34" t="inlineStr">
        <is>
          <t>N° moteur</t>
        </is>
      </c>
      <c r="B12" s="100" t="n"/>
      <c r="C12" s="100" t="n"/>
      <c r="D12" s="49" t="n"/>
      <c r="E12" s="35" t="inlineStr"/>
      <c r="F12" s="100" t="n"/>
      <c r="G12" s="100" t="n"/>
      <c r="H12" s="100" t="n"/>
      <c r="I12" s="100" t="n"/>
      <c r="J12" s="100" t="n"/>
      <c r="K12" s="100" t="n"/>
      <c r="L12" s="49" t="n"/>
    </row>
    <row r="13" ht="20" customHeight="1">
      <c r="A13" s="34" t="inlineStr">
        <is>
          <t>Date dernière visite technique</t>
        </is>
      </c>
      <c r="B13" s="100" t="n"/>
      <c r="C13" s="100" t="n"/>
      <c r="D13" s="49" t="n"/>
      <c r="E13" s="35" t="inlineStr"/>
      <c r="F13" s="100" t="n"/>
      <c r="G13" s="100" t="n"/>
      <c r="H13" s="100" t="n"/>
      <c r="I13" s="100" t="n"/>
      <c r="J13" s="100" t="n"/>
      <c r="K13" s="100" t="n"/>
      <c r="L13" s="49" t="n"/>
    </row>
    <row r="14" ht="20" customHeight="1">
      <c r="A14" s="34" t="inlineStr">
        <is>
          <t>Date prochaine visite technique</t>
        </is>
      </c>
      <c r="B14" s="100" t="n"/>
      <c r="C14" s="100" t="n"/>
      <c r="D14" s="49" t="n"/>
      <c r="E14" s="35" t="inlineStr"/>
      <c r="F14" s="100" t="n"/>
      <c r="G14" s="100" t="n"/>
      <c r="H14" s="100" t="n"/>
      <c r="I14" s="100" t="n"/>
      <c r="J14" s="100" t="n"/>
      <c r="K14" s="100" t="n"/>
      <c r="L14" s="49" t="n"/>
    </row>
    <row r="15" ht="20" customHeight="1">
      <c r="A15" s="34" t="inlineStr">
        <is>
          <t>Assurance — N° police / Expiration</t>
        </is>
      </c>
      <c r="B15" s="100" t="n"/>
      <c r="C15" s="100" t="n"/>
      <c r="D15" s="49" t="n"/>
      <c r="E15" s="35" t="inlineStr"/>
      <c r="F15" s="100" t="n"/>
      <c r="G15" s="100" t="n"/>
      <c r="H15" s="100" t="n"/>
      <c r="I15" s="100" t="n"/>
      <c r="J15" s="100" t="n"/>
      <c r="K15" s="100" t="n"/>
      <c r="L15" s="49" t="n"/>
    </row>
    <row r="17" ht="16" customHeight="1">
      <c r="A17" s="5" t="inlineStr">
        <is>
          <t>Historique des entretiens et réparations</t>
        </is>
      </c>
    </row>
    <row r="18" ht="24" customHeight="1">
      <c r="A18" s="43" t="inlineStr">
        <is>
          <t>Date</t>
        </is>
      </c>
      <c r="B18" s="43" t="inlineStr">
        <is>
          <t>Nature de l'intervention</t>
        </is>
      </c>
      <c r="C18" s="103" t="n"/>
      <c r="D18" s="104" t="n"/>
      <c r="E18" s="43" t="inlineStr">
        <is>
          <t>Type
(Préventif/Curatif)</t>
        </is>
      </c>
      <c r="F18" s="43" t="inlineStr">
        <is>
          <t>Kilométrage</t>
        </is>
      </c>
      <c r="G18" s="43" t="inlineStr">
        <is>
          <t>Pièces remplacées</t>
        </is>
      </c>
      <c r="H18" s="104" t="n"/>
      <c r="I18" s="43" t="inlineStr">
        <is>
          <t>Prestataire</t>
        </is>
      </c>
      <c r="J18" s="43" t="inlineStr">
        <is>
          <t>Coût USD</t>
        </is>
      </c>
      <c r="K18" s="43" t="inlineStr">
        <is>
          <t>Réf. DOC-G-02</t>
        </is>
      </c>
      <c r="L18" s="43" t="inlineStr">
        <is>
          <t>Obs.</t>
        </is>
      </c>
    </row>
    <row r="19" ht="20" customHeight="1">
      <c r="A19" s="35" t="inlineStr"/>
      <c r="B19" s="11" t="inlineStr"/>
      <c r="C19" s="100" t="n"/>
      <c r="D19" s="49" t="n"/>
      <c r="E19" s="9" t="inlineStr"/>
      <c r="F19" s="44" t="inlineStr"/>
      <c r="G19" s="11" t="inlineStr"/>
      <c r="H19" s="49" t="n"/>
      <c r="I19" s="9" t="inlineStr"/>
      <c r="J19" s="99" t="inlineStr"/>
      <c r="K19" s="11" t="inlineStr"/>
      <c r="L19" s="11" t="inlineStr"/>
    </row>
    <row r="20" ht="20" customHeight="1">
      <c r="A20" s="35" t="inlineStr"/>
      <c r="B20" s="8" t="inlineStr"/>
      <c r="C20" s="100" t="n"/>
      <c r="D20" s="49" t="n"/>
      <c r="E20" s="6" t="inlineStr"/>
      <c r="F20" s="44" t="inlineStr"/>
      <c r="G20" s="8" t="inlineStr"/>
      <c r="H20" s="49" t="n"/>
      <c r="I20" s="6" t="inlineStr"/>
      <c r="J20" s="99" t="inlineStr"/>
      <c r="K20" s="8" t="inlineStr"/>
      <c r="L20" s="8" t="inlineStr"/>
    </row>
    <row r="21" ht="20" customHeight="1">
      <c r="A21" s="35" t="inlineStr"/>
      <c r="B21" s="11" t="inlineStr"/>
      <c r="C21" s="100" t="n"/>
      <c r="D21" s="49" t="n"/>
      <c r="E21" s="9" t="inlineStr"/>
      <c r="F21" s="44" t="inlineStr"/>
      <c r="G21" s="11" t="inlineStr"/>
      <c r="H21" s="49" t="n"/>
      <c r="I21" s="9" t="inlineStr"/>
      <c r="J21" s="99" t="inlineStr"/>
      <c r="K21" s="11" t="inlineStr"/>
      <c r="L21" s="11" t="inlineStr"/>
    </row>
    <row r="22" ht="20" customHeight="1">
      <c r="A22" s="35" t="inlineStr"/>
      <c r="B22" s="8" t="inlineStr"/>
      <c r="C22" s="100" t="n"/>
      <c r="D22" s="49" t="n"/>
      <c r="E22" s="6" t="inlineStr"/>
      <c r="F22" s="44" t="inlineStr"/>
      <c r="G22" s="8" t="inlineStr"/>
      <c r="H22" s="49" t="n"/>
      <c r="I22" s="6" t="inlineStr"/>
      <c r="J22" s="99" t="inlineStr"/>
      <c r="K22" s="8" t="inlineStr"/>
      <c r="L22" s="8" t="inlineStr"/>
    </row>
    <row r="23" ht="20" customHeight="1">
      <c r="A23" s="35" t="inlineStr"/>
      <c r="B23" s="11" t="inlineStr"/>
      <c r="C23" s="100" t="n"/>
      <c r="D23" s="49" t="n"/>
      <c r="E23" s="9" t="inlineStr"/>
      <c r="F23" s="44" t="inlineStr"/>
      <c r="G23" s="11" t="inlineStr"/>
      <c r="H23" s="49" t="n"/>
      <c r="I23" s="9" t="inlineStr"/>
      <c r="J23" s="99" t="inlineStr"/>
      <c r="K23" s="11" t="inlineStr"/>
      <c r="L23" s="11" t="inlineStr"/>
    </row>
    <row r="24" ht="20" customHeight="1">
      <c r="A24" s="35" t="inlineStr"/>
      <c r="B24" s="8" t="inlineStr"/>
      <c r="C24" s="100" t="n"/>
      <c r="D24" s="49" t="n"/>
      <c r="E24" s="6" t="inlineStr"/>
      <c r="F24" s="44" t="inlineStr"/>
      <c r="G24" s="8" t="inlineStr"/>
      <c r="H24" s="49" t="n"/>
      <c r="I24" s="6" t="inlineStr"/>
      <c r="J24" s="99" t="inlineStr"/>
      <c r="K24" s="8" t="inlineStr"/>
      <c r="L24" s="8" t="inlineStr"/>
    </row>
    <row r="25" ht="20" customHeight="1">
      <c r="A25" s="35" t="inlineStr"/>
      <c r="B25" s="11" t="inlineStr"/>
      <c r="C25" s="100" t="n"/>
      <c r="D25" s="49" t="n"/>
      <c r="E25" s="9" t="inlineStr"/>
      <c r="F25" s="44" t="inlineStr"/>
      <c r="G25" s="11" t="inlineStr"/>
      <c r="H25" s="49" t="n"/>
      <c r="I25" s="9" t="inlineStr"/>
      <c r="J25" s="99" t="inlineStr"/>
      <c r="K25" s="11" t="inlineStr"/>
      <c r="L25" s="11" t="inlineStr"/>
    </row>
    <row r="26" ht="20" customHeight="1">
      <c r="A26" s="35" t="inlineStr"/>
      <c r="B26" s="8" t="inlineStr"/>
      <c r="C26" s="100" t="n"/>
      <c r="D26" s="49" t="n"/>
      <c r="E26" s="6" t="inlineStr"/>
      <c r="F26" s="44" t="inlineStr"/>
      <c r="G26" s="8" t="inlineStr"/>
      <c r="H26" s="49" t="n"/>
      <c r="I26" s="6" t="inlineStr"/>
      <c r="J26" s="99" t="inlineStr"/>
      <c r="K26" s="8" t="inlineStr"/>
      <c r="L26" s="8" t="inlineStr"/>
    </row>
    <row r="27" ht="20" customHeight="1">
      <c r="A27" s="35" t="inlineStr"/>
      <c r="B27" s="11" t="inlineStr"/>
      <c r="C27" s="100" t="n"/>
      <c r="D27" s="49" t="n"/>
      <c r="E27" s="9" t="inlineStr"/>
      <c r="F27" s="44" t="inlineStr"/>
      <c r="G27" s="11" t="inlineStr"/>
      <c r="H27" s="49" t="n"/>
      <c r="I27" s="9" t="inlineStr"/>
      <c r="J27" s="99" t="inlineStr"/>
      <c r="K27" s="11" t="inlineStr"/>
      <c r="L27" s="11" t="inlineStr"/>
    </row>
    <row r="28" ht="20" customHeight="1">
      <c r="A28" s="35" t="inlineStr"/>
      <c r="B28" s="8" t="inlineStr"/>
      <c r="C28" s="100" t="n"/>
      <c r="D28" s="49" t="n"/>
      <c r="E28" s="6" t="inlineStr"/>
      <c r="F28" s="44" t="inlineStr"/>
      <c r="G28" s="8" t="inlineStr"/>
      <c r="H28" s="49" t="n"/>
      <c r="I28" s="6" t="inlineStr"/>
      <c r="J28" s="99" t="inlineStr"/>
      <c r="K28" s="8" t="inlineStr"/>
      <c r="L28" s="8" t="inlineStr"/>
    </row>
    <row r="29" ht="20" customHeight="1">
      <c r="A29" s="35" t="inlineStr"/>
      <c r="B29" s="11" t="inlineStr"/>
      <c r="C29" s="100" t="n"/>
      <c r="D29" s="49" t="n"/>
      <c r="E29" s="9" t="inlineStr"/>
      <c r="F29" s="44" t="inlineStr"/>
      <c r="G29" s="11" t="inlineStr"/>
      <c r="H29" s="49" t="n"/>
      <c r="I29" s="9" t="inlineStr"/>
      <c r="J29" s="99" t="inlineStr"/>
      <c r="K29" s="11" t="inlineStr"/>
      <c r="L29" s="11" t="inlineStr"/>
    </row>
    <row r="30" ht="20" customHeight="1">
      <c r="A30" s="35" t="inlineStr"/>
      <c r="B30" s="8" t="inlineStr"/>
      <c r="C30" s="100" t="n"/>
      <c r="D30" s="49" t="n"/>
      <c r="E30" s="6" t="inlineStr"/>
      <c r="F30" s="44" t="inlineStr"/>
      <c r="G30" s="8" t="inlineStr"/>
      <c r="H30" s="49" t="n"/>
      <c r="I30" s="6" t="inlineStr"/>
      <c r="J30" s="99" t="inlineStr"/>
      <c r="K30" s="8" t="inlineStr"/>
      <c r="L30" s="8" t="inlineStr"/>
    </row>
    <row r="31" ht="20" customHeight="1">
      <c r="A31" s="35" t="inlineStr"/>
      <c r="B31" s="11" t="inlineStr"/>
      <c r="C31" s="100" t="n"/>
      <c r="D31" s="49" t="n"/>
      <c r="E31" s="9" t="inlineStr"/>
      <c r="F31" s="44" t="inlineStr"/>
      <c r="G31" s="11" t="inlineStr"/>
      <c r="H31" s="49" t="n"/>
      <c r="I31" s="9" t="inlineStr"/>
      <c r="J31" s="99" t="inlineStr"/>
      <c r="K31" s="11" t="inlineStr"/>
      <c r="L31" s="11" t="inlineStr"/>
    </row>
    <row r="32" ht="20" customHeight="1">
      <c r="A32" s="35" t="inlineStr"/>
      <c r="B32" s="8" t="inlineStr"/>
      <c r="C32" s="100" t="n"/>
      <c r="D32" s="49" t="n"/>
      <c r="E32" s="6" t="inlineStr"/>
      <c r="F32" s="44" t="inlineStr"/>
      <c r="G32" s="8" t="inlineStr"/>
      <c r="H32" s="49" t="n"/>
      <c r="I32" s="6" t="inlineStr"/>
      <c r="J32" s="99" t="inlineStr"/>
      <c r="K32" s="8" t="inlineStr"/>
      <c r="L32" s="8" t="inlineStr"/>
    </row>
    <row r="33" ht="20" customHeight="1">
      <c r="A33" s="35" t="inlineStr"/>
      <c r="B33" s="11" t="inlineStr"/>
      <c r="C33" s="100" t="n"/>
      <c r="D33" s="49" t="n"/>
      <c r="E33" s="9" t="inlineStr"/>
      <c r="F33" s="44" t="inlineStr"/>
      <c r="G33" s="11" t="inlineStr"/>
      <c r="H33" s="49" t="n"/>
      <c r="I33" s="9" t="inlineStr"/>
      <c r="J33" s="99" t="inlineStr"/>
      <c r="K33" s="11" t="inlineStr"/>
      <c r="L33" s="11" t="inlineStr"/>
    </row>
    <row r="34" ht="20" customHeight="1">
      <c r="A34" s="35" t="inlineStr"/>
      <c r="B34" s="8" t="inlineStr"/>
      <c r="C34" s="100" t="n"/>
      <c r="D34" s="49" t="n"/>
      <c r="E34" s="6" t="inlineStr"/>
      <c r="F34" s="44" t="inlineStr"/>
      <c r="G34" s="8" t="inlineStr"/>
      <c r="H34" s="49" t="n"/>
      <c r="I34" s="6" t="inlineStr"/>
      <c r="J34" s="99" t="inlineStr"/>
      <c r="K34" s="8" t="inlineStr"/>
      <c r="L34" s="8" t="inlineStr"/>
    </row>
    <row r="35" ht="20" customHeight="1">
      <c r="A35" s="35" t="inlineStr"/>
      <c r="B35" s="11" t="inlineStr"/>
      <c r="C35" s="100" t="n"/>
      <c r="D35" s="49" t="n"/>
      <c r="E35" s="9" t="inlineStr"/>
      <c r="F35" s="44" t="inlineStr"/>
      <c r="G35" s="11" t="inlineStr"/>
      <c r="H35" s="49" t="n"/>
      <c r="I35" s="9" t="inlineStr"/>
      <c r="J35" s="99" t="inlineStr"/>
      <c r="K35" s="11" t="inlineStr"/>
      <c r="L35" s="11" t="inlineStr"/>
    </row>
    <row r="36" ht="20" customHeight="1">
      <c r="A36" s="35" t="inlineStr"/>
      <c r="B36" s="8" t="inlineStr"/>
      <c r="C36" s="100" t="n"/>
      <c r="D36" s="49" t="n"/>
      <c r="E36" s="6" t="inlineStr"/>
      <c r="F36" s="44" t="inlineStr"/>
      <c r="G36" s="8" t="inlineStr"/>
      <c r="H36" s="49" t="n"/>
      <c r="I36" s="6" t="inlineStr"/>
      <c r="J36" s="99" t="inlineStr"/>
      <c r="K36" s="8" t="inlineStr"/>
      <c r="L36" s="8" t="inlineStr"/>
    </row>
    <row r="37" ht="20" customHeight="1">
      <c r="A37" s="35" t="inlineStr"/>
      <c r="B37" s="11" t="inlineStr"/>
      <c r="C37" s="100" t="n"/>
      <c r="D37" s="49" t="n"/>
      <c r="E37" s="9" t="inlineStr"/>
      <c r="F37" s="44" t="inlineStr"/>
      <c r="G37" s="11" t="inlineStr"/>
      <c r="H37" s="49" t="n"/>
      <c r="I37" s="9" t="inlineStr"/>
      <c r="J37" s="99" t="inlineStr"/>
      <c r="K37" s="11" t="inlineStr"/>
      <c r="L37" s="11" t="inlineStr"/>
    </row>
    <row r="38" ht="20" customHeight="1">
      <c r="A38" s="35" t="inlineStr"/>
      <c r="B38" s="8" t="inlineStr"/>
      <c r="C38" s="100" t="n"/>
      <c r="D38" s="49" t="n"/>
      <c r="E38" s="6" t="inlineStr"/>
      <c r="F38" s="44" t="inlineStr"/>
      <c r="G38" s="8" t="inlineStr"/>
      <c r="H38" s="49" t="n"/>
      <c r="I38" s="6" t="inlineStr"/>
      <c r="J38" s="99" t="inlineStr"/>
      <c r="K38" s="8" t="inlineStr"/>
      <c r="L38" s="8" t="inlineStr"/>
    </row>
    <row r="40" ht="20" customHeight="1">
      <c r="A40" s="97" t="inlineStr">
        <is>
          <t>COÛT TOTAL ENTRETIENS (cumulé)</t>
        </is>
      </c>
      <c r="J40" s="98">
        <f>SUM(J14:J39)</f>
        <v/>
      </c>
      <c r="K40" s="81" t="inlineStr"/>
      <c r="L40" s="81" t="inlineStr"/>
    </row>
    <row r="42" ht="16" customHeight="1">
      <c r="A42" s="39" t="inlineStr">
        <is>
          <t>Ass. Tech. Vinciane
(mise à jour après chaque intervention)</t>
        </is>
      </c>
      <c r="B42" s="101" t="n"/>
      <c r="C42" s="101" t="n"/>
      <c r="D42" s="101" t="n"/>
      <c r="E42" s="101" t="n"/>
      <c r="F42" s="102" t="n"/>
      <c r="G42" s="39" t="inlineStr">
        <is>
          <t>DT Groupe
(visa technique périodique)</t>
        </is>
      </c>
      <c r="H42" s="101" t="n"/>
      <c r="I42" s="101" t="n"/>
      <c r="J42" s="101" t="n"/>
      <c r="K42" s="101" t="n"/>
      <c r="L42" s="102" t="n"/>
    </row>
    <row r="43" ht="48" customHeight="1">
      <c r="A43" s="40" t="inlineStr"/>
      <c r="B43" s="100" t="n"/>
      <c r="C43" s="100" t="n"/>
      <c r="D43" s="100" t="n"/>
      <c r="E43" s="100" t="n"/>
      <c r="F43" s="49" t="n"/>
      <c r="G43" s="40" t="inlineStr"/>
      <c r="H43" s="100" t="n"/>
      <c r="I43" s="100" t="n"/>
      <c r="J43" s="100" t="n"/>
      <c r="K43" s="100" t="n"/>
      <c r="L43" s="49" t="n"/>
    </row>
    <row r="45" ht="13" customHeight="1">
      <c r="A45" s="41" t="inlineStr">
        <is>
          <t>DOC-MT-04 — Fiche Technique Camion — KAKO Logistique — KILIMA Holdings</t>
        </is>
      </c>
    </row>
  </sheetData>
  <mergeCells count="72">
    <mergeCell ref="G21:H21"/>
    <mergeCell ref="E12:L12"/>
    <mergeCell ref="A8:D8"/>
    <mergeCell ref="B23:D23"/>
    <mergeCell ref="G27:H27"/>
    <mergeCell ref="G36:H36"/>
    <mergeCell ref="G23:H23"/>
    <mergeCell ref="E14:L14"/>
    <mergeCell ref="B29:D29"/>
    <mergeCell ref="A10:D10"/>
    <mergeCell ref="A3:L3"/>
    <mergeCell ref="B38:D38"/>
    <mergeCell ref="A13:D13"/>
    <mergeCell ref="E8:L8"/>
    <mergeCell ref="B34:D34"/>
    <mergeCell ref="B28:D28"/>
    <mergeCell ref="A9:D9"/>
    <mergeCell ref="B19:D19"/>
    <mergeCell ref="B37:D37"/>
    <mergeCell ref="A42:F42"/>
    <mergeCell ref="G38:H38"/>
    <mergeCell ref="G19:H19"/>
    <mergeCell ref="E10:L10"/>
    <mergeCell ref="A15:D15"/>
    <mergeCell ref="G37:H37"/>
    <mergeCell ref="G28:H28"/>
    <mergeCell ref="E13:L13"/>
    <mergeCell ref="A17:L17"/>
    <mergeCell ref="A11:D11"/>
    <mergeCell ref="I2:L2"/>
    <mergeCell ref="G18:H18"/>
    <mergeCell ref="B30:D30"/>
    <mergeCell ref="B24:D24"/>
    <mergeCell ref="A4:L4"/>
    <mergeCell ref="B20:D20"/>
    <mergeCell ref="B33:D33"/>
    <mergeCell ref="A43:F43"/>
    <mergeCell ref="E9:L9"/>
    <mergeCell ref="G34:H34"/>
    <mergeCell ref="B36:D36"/>
    <mergeCell ref="G24:H24"/>
    <mergeCell ref="E15:L15"/>
    <mergeCell ref="G30:H30"/>
    <mergeCell ref="A2:H2"/>
    <mergeCell ref="B32:D32"/>
    <mergeCell ref="G33:H33"/>
    <mergeCell ref="E11:L11"/>
    <mergeCell ref="B26:D26"/>
    <mergeCell ref="B35:D35"/>
    <mergeCell ref="A7:D7"/>
    <mergeCell ref="A40:I40"/>
    <mergeCell ref="G43:L43"/>
    <mergeCell ref="B25:D25"/>
    <mergeCell ref="G26:H26"/>
    <mergeCell ref="G29:H29"/>
    <mergeCell ref="G35:H35"/>
    <mergeCell ref="G20:H20"/>
    <mergeCell ref="B31:D31"/>
    <mergeCell ref="E7:L7"/>
    <mergeCell ref="A12:D12"/>
    <mergeCell ref="B22:D22"/>
    <mergeCell ref="G25:H25"/>
    <mergeCell ref="G32:H32"/>
    <mergeCell ref="G42:L42"/>
    <mergeCell ref="A45:L45"/>
    <mergeCell ref="B18:D18"/>
    <mergeCell ref="B27:D27"/>
    <mergeCell ref="A6:L6"/>
    <mergeCell ref="G31:H31"/>
    <mergeCell ref="B21:D21"/>
    <mergeCell ref="G22:H22"/>
    <mergeCell ref="A14:D14"/>
  </mergeCells>
  <pageMargins left="0.5" right="0.5" top="0.6" bottom="0.6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2026-06-16T22:04:27Z</dcterms:created>
  <dcterms:modified xmlns:dcterms="http://purl.org/dc/terms/" xmlns:xsi="http://www.w3.org/2001/XMLSchema-instance" xsi:type="dcterms:W3CDTF">2026-06-16T22:04:44Z</dcterms:modified>
</cp:coreProperties>
</file>