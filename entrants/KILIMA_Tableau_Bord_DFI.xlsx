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Bord Quotidien" sheetId="1" state="visible" r:id="rId1"/>
    <sheet xmlns:r="http://schemas.openxmlformats.org/officeDocument/2006/relationships" name="Suivi Hebdomadaire" sheetId="2" state="visible" r:id="rId2"/>
    <sheet xmlns:r="http://schemas.openxmlformats.org/officeDocument/2006/relationships" name="Avances en Cours" sheetId="3" state="visible" r:id="rId3"/>
    <sheet xmlns:r="http://schemas.openxmlformats.org/officeDocument/2006/relationships" name="Actions &amp; Relances DFI" sheetId="4" state="visible" r:id="rId4"/>
    <sheet xmlns:r="http://schemas.openxmlformats.org/officeDocument/2006/relationships" name="Protocole Agents" sheetId="5" state="visible" r:id="rId5"/>
  </sheets>
  <definedNames/>
  <calcPr calcId="124519" fullCalcOnLoad="1"/>
</workbook>
</file>

<file path=xl/styles.xml><?xml version="1.0" encoding="utf-8"?>
<styleSheet xmlns="http://schemas.openxmlformats.org/spreadsheetml/2006/main">
  <numFmts count="0"/>
  <fonts count="54">
    <font>
      <name val="Calibri"/>
      <family val="2"/>
      <color theme="1"/>
      <sz val="11"/>
      <scheme val="minor"/>
    </font>
    <font>
      <name val="Arial"/>
      <b val="1"/>
      <color rgb="00FFFFFF"/>
      <sz val="14"/>
    </font>
    <font>
      <name val="Arial"/>
      <i val="1"/>
      <color rgb="007F77DD"/>
      <sz val="10"/>
    </font>
    <font>
      <name val="Arial"/>
      <b val="1"/>
      <color rgb="003C3489"/>
      <sz val="10"/>
    </font>
    <font>
      <name val="Arial"/>
      <b val="1"/>
      <color rgb="002C2C2A"/>
      <sz val="10"/>
    </font>
    <font>
      <name val="Arial"/>
      <i val="1"/>
      <color rgb="005F5E5A"/>
      <sz val="9"/>
    </font>
    <font>
      <name val="Arial"/>
      <i val="1"/>
      <color rgb="00854F0B"/>
      <sz val="8"/>
    </font>
    <font>
      <name val="Arial"/>
      <b val="1"/>
      <color rgb="003C3489"/>
      <sz val="8"/>
    </font>
    <font>
      <name val="Arial"/>
      <b val="1"/>
      <color rgb="003C3489"/>
      <sz val="18"/>
    </font>
    <font>
      <name val="Arial"/>
      <b val="1"/>
      <color rgb="00639922"/>
      <sz val="8"/>
    </font>
    <font>
      <name val="Arial"/>
      <b val="1"/>
      <color rgb="00639922"/>
      <sz val="18"/>
    </font>
    <font>
      <name val="Arial"/>
      <b val="1"/>
      <color rgb="00854F0B"/>
      <sz val="8"/>
    </font>
    <font>
      <name val="Arial"/>
      <b val="1"/>
      <color rgb="00854F0B"/>
      <sz val="18"/>
    </font>
    <font>
      <name val="Arial"/>
      <b val="1"/>
      <color rgb="00A32D2D"/>
      <sz val="8"/>
    </font>
    <font>
      <name val="Arial"/>
      <b val="1"/>
      <color rgb="00A32D2D"/>
      <sz val="18"/>
    </font>
    <font>
      <name val="Arial"/>
      <b val="1"/>
      <color rgb="000F6E56"/>
      <sz val="8"/>
    </font>
    <font>
      <name val="Arial"/>
      <b val="1"/>
      <color rgb="000F6E56"/>
      <sz val="18"/>
    </font>
    <font>
      <name val="Arial"/>
      <b val="1"/>
      <color rgb="00FFFFFF"/>
      <sz val="9"/>
    </font>
    <font>
      <name val="Arial"/>
      <color rgb="002C2C2A"/>
      <sz val="10"/>
    </font>
    <font>
      <name val="Arial"/>
      <b val="1"/>
      <color rgb="000F6E56"/>
      <sz val="10"/>
    </font>
    <font>
      <name val="Arial"/>
      <i val="1"/>
      <color rgb="000F6E56"/>
      <sz val="8"/>
    </font>
    <font>
      <name val="Arial"/>
      <color rgb="005F5E5A"/>
      <sz val="9"/>
    </font>
    <font>
      <name val="Arial"/>
      <color rgb="002C2C2A"/>
      <sz val="9"/>
    </font>
    <font>
      <name val="Arial"/>
      <b val="1"/>
      <color rgb="002C2C2A"/>
      <sz val="9"/>
    </font>
    <font>
      <name val="Arial"/>
      <b val="1"/>
      <color rgb="005F5E5A"/>
      <sz val="9"/>
    </font>
    <font>
      <name val="Arial"/>
      <i val="1"/>
      <color rgb="003C3489"/>
      <sz val="8"/>
    </font>
    <font>
      <name val="Arial"/>
      <b val="1"/>
      <color rgb="007F77DD"/>
      <sz val="10"/>
    </font>
    <font>
      <name val="Arial"/>
      <i val="1"/>
      <color rgb="007F77DD"/>
      <sz val="8"/>
    </font>
    <font>
      <name val="Arial"/>
      <b val="1"/>
      <color rgb="00993C1D"/>
      <sz val="10"/>
    </font>
    <font>
      <name val="Arial"/>
      <i val="1"/>
      <color rgb="00993C1D"/>
      <sz val="8"/>
    </font>
    <font>
      <name val="Arial"/>
      <b val="1"/>
      <color rgb="00854F0B"/>
      <sz val="10"/>
    </font>
    <font>
      <name val="Arial"/>
      <b val="1"/>
      <color rgb="005F5E5A"/>
      <sz val="10"/>
    </font>
    <font>
      <name val="Arial"/>
      <i val="1"/>
      <color rgb="005F5E5A"/>
      <sz val="8"/>
    </font>
    <font>
      <name val="Arial"/>
      <b val="1"/>
      <color rgb="005F5E5A"/>
      <sz val="8"/>
    </font>
    <font>
      <name val="Arial"/>
      <b val="1"/>
      <color rgb="0027500A"/>
      <sz val="8"/>
    </font>
    <font>
      <name val="Arial"/>
      <b val="1"/>
      <color rgb="00FFFFFF"/>
      <sz val="13"/>
    </font>
    <font>
      <name val="Arial"/>
      <color rgb="00FFFACD"/>
      <sz val="10"/>
    </font>
    <font>
      <name val="Arial"/>
      <b val="1"/>
      <color rgb="003C3489"/>
      <sz val="9"/>
    </font>
    <font>
      <name val="Arial"/>
      <b val="1"/>
      <color rgb="00FFFFFF"/>
      <sz val="11"/>
    </font>
    <font>
      <name val="Arial"/>
      <b val="1"/>
      <color rgb="000F6E56"/>
      <sz val="9"/>
    </font>
    <font>
      <name val="Arial"/>
      <b val="1"/>
      <color rgb="00854F0B"/>
      <sz val="9"/>
    </font>
    <font>
      <name val="Arial"/>
      <color rgb="00FCEBEB"/>
      <sz val="10"/>
    </font>
    <font>
      <name val="Arial"/>
      <b val="1"/>
      <color rgb="00A32D2D"/>
      <sz val="9"/>
    </font>
    <font>
      <name val="Arial"/>
      <i val="1"/>
      <color rgb="00A32D2D"/>
      <sz val="9"/>
    </font>
    <font>
      <name val="Arial"/>
      <b val="1"/>
      <color rgb="00FFFFFF"/>
      <sz val="10"/>
    </font>
    <font>
      <name val="Arial"/>
      <b val="1"/>
      <color rgb="00A32D2D"/>
      <sz val="12"/>
    </font>
    <font>
      <name val="Arial"/>
      <color rgb="005F5E5A"/>
      <sz val="8"/>
    </font>
    <font>
      <name val="Arial"/>
      <b val="1"/>
      <color rgb="00A32D2D"/>
      <sz val="14"/>
    </font>
    <font>
      <name val="Arial"/>
      <color rgb="007F77DD"/>
      <sz val="10"/>
    </font>
    <font>
      <name val="Arial"/>
      <i val="1"/>
      <color rgb="00854F0B"/>
      <sz val="9"/>
    </font>
    <font>
      <name val="Arial"/>
      <i val="1"/>
      <color rgb="003C3489"/>
      <sz val="9"/>
    </font>
    <font>
      <name val="Arial"/>
      <color rgb="000F6E56"/>
      <sz val="10"/>
    </font>
    <font>
      <name val="Arial"/>
      <b val="1"/>
      <color rgb="007F77DD"/>
      <sz val="9"/>
    </font>
    <font>
      <name val="Arial"/>
      <b val="1"/>
      <color rgb="00993C1D"/>
      <sz val="9"/>
    </font>
  </fonts>
  <fills count="15">
    <fill>
      <patternFill/>
    </fill>
    <fill>
      <patternFill patternType="gray125"/>
    </fill>
    <fill>
      <patternFill patternType="solid">
        <fgColor rgb="003C3489"/>
      </patternFill>
    </fill>
    <fill>
      <patternFill patternType="solid">
        <fgColor rgb="00EEEDFE"/>
      </patternFill>
    </fill>
    <fill>
      <patternFill patternType="solid">
        <fgColor rgb="00FFFACD"/>
      </patternFill>
    </fill>
    <fill>
      <patternFill patternType="solid">
        <fgColor rgb="00F1EFE8"/>
      </patternFill>
    </fill>
    <fill>
      <patternFill patternType="solid">
        <fgColor rgb="00FAEEDA"/>
      </patternFill>
    </fill>
    <fill>
      <patternFill patternType="solid">
        <fgColor rgb="00EAF3DE"/>
      </patternFill>
    </fill>
    <fill>
      <patternFill patternType="solid">
        <fgColor rgb="00FCEBEB"/>
      </patternFill>
    </fill>
    <fill>
      <patternFill patternType="solid">
        <fgColor rgb="00E1F5EE"/>
      </patternFill>
    </fill>
    <fill>
      <patternFill patternType="solid">
        <fgColor rgb="00FFFFFF"/>
      </patternFill>
    </fill>
    <fill>
      <patternFill patternType="solid">
        <fgColor rgb="00FAECE7"/>
      </patternFill>
    </fill>
    <fill>
      <patternFill patternType="solid">
        <fgColor rgb="000F6E56"/>
      </patternFill>
    </fill>
    <fill>
      <patternFill patternType="solid">
        <fgColor rgb="00854F0B"/>
      </patternFill>
    </fill>
    <fill>
      <patternFill patternType="solid">
        <fgColor rgb="00A32D2D"/>
      </patternFill>
    </fill>
  </fills>
  <borders count="14">
    <border>
      <left/>
      <right/>
      <top/>
      <bottom/>
      <diagonal/>
    </border>
    <border>
      <left style="thin">
        <color rgb="007F77DD"/>
      </left>
      <right style="thin">
        <color rgb="007F77DD"/>
      </right>
      <top style="thin">
        <color rgb="007F77DD"/>
      </top>
      <bottom style="thin">
        <color rgb="007F77DD"/>
      </bottom>
    </border>
    <border>
      <left style="thin">
        <color rgb="00D3D1C7"/>
      </left>
      <right style="thin">
        <color rgb="00D3D1C7"/>
      </right>
      <top style="thin">
        <color rgb="00D3D1C7"/>
      </top>
      <bottom style="thin">
        <color rgb="00D3D1C7"/>
      </bottom>
    </border>
    <border>
      <left style="thin">
        <color rgb="003C3489"/>
      </left>
      <right style="thin">
        <color rgb="003C3489"/>
      </right>
      <top style="thin">
        <color rgb="003C3489"/>
      </top>
      <bottom style="thin">
        <color rgb="003C3489"/>
      </bottom>
    </border>
    <border>
      <left style="thin">
        <color rgb="00639922"/>
      </left>
      <right style="thin">
        <color rgb="00639922"/>
      </right>
      <top style="thin">
        <color rgb="00639922"/>
      </top>
      <bottom style="thin">
        <color rgb="00639922"/>
      </bottom>
    </border>
    <border>
      <left style="thin">
        <color rgb="00854F0B"/>
      </left>
      <right style="thin">
        <color rgb="00854F0B"/>
      </right>
      <top style="thin">
        <color rgb="00854F0B"/>
      </top>
      <bottom style="thin">
        <color rgb="00854F0B"/>
      </bottom>
    </border>
    <border>
      <left style="thin">
        <color rgb="00A32D2D"/>
      </left>
      <right style="thin">
        <color rgb="00A32D2D"/>
      </right>
      <top style="thin">
        <color rgb="00A32D2D"/>
      </top>
      <bottom style="thin">
        <color rgb="00A32D2D"/>
      </bottom>
    </border>
    <border>
      <left style="thin">
        <color rgb="000F6E56"/>
      </left>
      <right style="thin">
        <color rgb="000F6E56"/>
      </right>
      <top style="thin">
        <color rgb="000F6E56"/>
      </top>
      <bottom style="thin">
        <color rgb="000F6E56"/>
      </bottom>
    </border>
    <border>
      <left style="medium">
        <color rgb="00D3D1C7"/>
      </left>
      <right style="medium">
        <color rgb="00D3D1C7"/>
      </right>
      <top style="medium">
        <color rgb="00D3D1C7"/>
      </top>
      <bottom style="medium">
        <color rgb="00D3D1C7"/>
      </bottom>
    </border>
    <border>
      <left style="medium">
        <color rgb="001D9E75"/>
      </left>
      <right style="medium">
        <color rgb="001D9E75"/>
      </right>
      <top style="medium">
        <color rgb="001D9E75"/>
      </top>
      <bottom style="medium">
        <color rgb="001D9E75"/>
      </bottom>
    </border>
    <border>
      <left style="thin">
        <color rgb="001D9E75"/>
      </left>
      <right style="thin">
        <color rgb="001D9E75"/>
      </right>
      <top style="thin">
        <color rgb="001D9E75"/>
      </top>
      <bottom style="thin">
        <color rgb="001D9E75"/>
      </bottom>
    </border>
    <border>
      <left style="thin">
        <color rgb="00FAC775"/>
      </left>
      <right style="thin">
        <color rgb="00FAC775"/>
      </right>
      <top style="thin">
        <color rgb="00FAC775"/>
      </top>
      <bottom style="thin">
        <color rgb="00FAC775"/>
      </bottom>
    </border>
    <border>
      <left style="medium">
        <color rgb="00FAC775"/>
      </left>
      <right style="medium">
        <color rgb="00FAC775"/>
      </right>
      <top style="medium">
        <color rgb="00FAC775"/>
      </top>
      <bottom style="medium">
        <color rgb="00FAC775"/>
      </bottom>
    </border>
    <border>
      <left style="medium">
        <color rgb="00A32D2D"/>
      </left>
      <right style="medium">
        <color rgb="00A32D2D"/>
      </right>
      <top style="medium">
        <color rgb="00A32D2D"/>
      </top>
      <bottom style="medium">
        <color rgb="00A32D2D"/>
      </bottom>
    </border>
  </borders>
  <cellStyleXfs count="1">
    <xf numFmtId="0" fontId="0" fillId="0" borderId="0"/>
  </cellStyleXfs>
  <cellXfs count="107">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right" vertical="center" wrapText="1"/>
    </xf>
    <xf numFmtId="0" fontId="3" fillId="3" borderId="0"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0" applyAlignment="1" pivotButton="0" quotePrefix="0" xfId="0">
      <alignment horizontal="left" vertical="center" wrapText="1"/>
    </xf>
    <xf numFmtId="0" fontId="4" fillId="4" borderId="2" applyAlignment="1" pivotButton="0" quotePrefix="0" xfId="0">
      <alignment horizontal="left" vertical="center" wrapText="1"/>
    </xf>
    <xf numFmtId="0" fontId="6" fillId="6" borderId="0" applyAlignment="1" pivotButton="0" quotePrefix="0" xfId="0">
      <alignment horizontal="left" vertical="center" wrapText="1"/>
    </xf>
    <xf numFmtId="0" fontId="7" fillId="3" borderId="3" applyAlignment="1" pivotButton="0" quotePrefix="0" xfId="0">
      <alignment horizontal="center" vertical="center" wrapText="1"/>
    </xf>
    <xf numFmtId="0" fontId="9" fillId="7" borderId="4" applyAlignment="1" pivotButton="0" quotePrefix="0" xfId="0">
      <alignment horizontal="center" vertical="center" wrapText="1"/>
    </xf>
    <xf numFmtId="0" fontId="11" fillId="6" borderId="5" applyAlignment="1" pivotButton="0" quotePrefix="0" xfId="0">
      <alignment horizontal="center" vertical="center" wrapText="1"/>
    </xf>
    <xf numFmtId="0" fontId="13" fillId="8" borderId="6" applyAlignment="1" pivotButton="0" quotePrefix="0" xfId="0">
      <alignment horizontal="center" vertical="center" wrapText="1"/>
    </xf>
    <xf numFmtId="0" fontId="15" fillId="9" borderId="7" applyAlignment="1" pivotButton="0" quotePrefix="0" xfId="0">
      <alignment horizontal="center" vertical="center" wrapText="1"/>
    </xf>
    <xf numFmtId="0" fontId="8" fillId="3" borderId="3" applyAlignment="1" pivotButton="0" quotePrefix="0" xfId="0">
      <alignment horizontal="center" vertical="center" wrapText="1"/>
    </xf>
    <xf numFmtId="0" fontId="10" fillId="7" borderId="4" applyAlignment="1" pivotButton="0" quotePrefix="0" xfId="0">
      <alignment horizontal="center" vertical="center" wrapText="1"/>
    </xf>
    <xf numFmtId="0" fontId="12" fillId="6" borderId="5" applyAlignment="1" pivotButton="0" quotePrefix="0" xfId="0">
      <alignment horizontal="center" vertical="center" wrapText="1"/>
    </xf>
    <xf numFmtId="0" fontId="14" fillId="8" borderId="6" applyAlignment="1" pivotButton="0" quotePrefix="0" xfId="0">
      <alignment horizontal="center" vertical="center" wrapText="1"/>
    </xf>
    <xf numFmtId="9" fontId="16" fillId="9" borderId="7" applyAlignment="1" pivotButton="0" quotePrefix="0" xfId="0">
      <alignment horizontal="center" vertical="center" wrapText="1"/>
    </xf>
    <xf numFmtId="0" fontId="17" fillId="2" borderId="1" applyAlignment="1" pivotButton="0" quotePrefix="0" xfId="0">
      <alignment horizontal="center" vertical="center" wrapText="1"/>
    </xf>
    <xf numFmtId="0" fontId="18" fillId="9" borderId="0" applyAlignment="1" pivotButton="0" quotePrefix="0" xfId="0">
      <alignment horizontal="left" vertical="center" wrapText="1"/>
    </xf>
    <xf numFmtId="0" fontId="19" fillId="9" borderId="0" applyAlignment="1" pivotButton="0" quotePrefix="0" xfId="0">
      <alignment horizontal="left" vertical="center" wrapText="1"/>
    </xf>
    <xf numFmtId="0" fontId="20" fillId="9" borderId="0" applyAlignment="1" pivotButton="0" quotePrefix="0" xfId="0">
      <alignment horizontal="left" vertical="center" wrapText="1"/>
    </xf>
    <xf numFmtId="0" fontId="21" fillId="5" borderId="2" applyAlignment="1" pivotButton="0" quotePrefix="0" xfId="0">
      <alignment horizontal="center" vertical="center" wrapText="1"/>
    </xf>
    <xf numFmtId="0" fontId="22" fillId="5" borderId="2" applyAlignment="1" pivotButton="0" quotePrefix="0" xfId="0">
      <alignment horizontal="left" vertical="center" wrapText="1"/>
    </xf>
    <xf numFmtId="0" fontId="5" fillId="5" borderId="2" applyAlignment="1" pivotButton="0" quotePrefix="0" xfId="0">
      <alignment horizontal="left" vertical="center" wrapText="1"/>
    </xf>
    <xf numFmtId="0" fontId="23" fillId="5" borderId="2" applyAlignment="1" pivotButton="0" quotePrefix="0" xfId="0">
      <alignment horizontal="center" vertical="center" wrapText="1"/>
    </xf>
    <xf numFmtId="0" fontId="24" fillId="5" borderId="8" applyAlignment="1" pivotButton="0" quotePrefix="0" xfId="0">
      <alignment horizontal="center" vertical="center" wrapText="1"/>
    </xf>
    <xf numFmtId="0" fontId="22" fillId="5" borderId="2" applyAlignment="1" pivotButton="0" quotePrefix="0" xfId="0">
      <alignment horizontal="center" vertical="center" wrapText="1"/>
    </xf>
    <xf numFmtId="0" fontId="21" fillId="10" borderId="2" applyAlignment="1" pivotButton="0" quotePrefix="0" xfId="0">
      <alignment horizontal="center" vertical="center" wrapText="1"/>
    </xf>
    <xf numFmtId="0" fontId="22" fillId="10" borderId="2" applyAlignment="1" pivotButton="0" quotePrefix="0" xfId="0">
      <alignment horizontal="left" vertical="center" wrapText="1"/>
    </xf>
    <xf numFmtId="0" fontId="5" fillId="10" borderId="2" applyAlignment="1" pivotButton="0" quotePrefix="0" xfId="0">
      <alignment horizontal="left" vertical="center" wrapText="1"/>
    </xf>
    <xf numFmtId="0" fontId="23" fillId="10" borderId="2" applyAlignment="1" pivotButton="0" quotePrefix="0" xfId="0">
      <alignment horizontal="center" vertical="center" wrapText="1"/>
    </xf>
    <xf numFmtId="0" fontId="22" fillId="10" borderId="2" applyAlignment="1" pivotButton="0" quotePrefix="0" xfId="0">
      <alignment horizontal="center" vertical="center" wrapText="1"/>
    </xf>
    <xf numFmtId="0" fontId="18" fillId="3" borderId="0" applyAlignment="1" pivotButton="0" quotePrefix="0" xfId="0">
      <alignment horizontal="left" vertical="center" wrapText="1"/>
    </xf>
    <xf numFmtId="0" fontId="25" fillId="3" borderId="0" applyAlignment="1" pivotButton="0" quotePrefix="0" xfId="0">
      <alignment horizontal="left" vertical="center" wrapText="1"/>
    </xf>
    <xf numFmtId="0" fontId="26" fillId="3" borderId="0" applyAlignment="1" pivotButton="0" quotePrefix="0" xfId="0">
      <alignment horizontal="left" vertical="center" wrapText="1"/>
    </xf>
    <xf numFmtId="0" fontId="27" fillId="3" borderId="0" applyAlignment="1" pivotButton="0" quotePrefix="0" xfId="0">
      <alignment horizontal="left" vertical="center" wrapText="1"/>
    </xf>
    <xf numFmtId="0" fontId="18" fillId="11" borderId="0" applyAlignment="1" pivotButton="0" quotePrefix="0" xfId="0">
      <alignment horizontal="left" vertical="center" wrapText="1"/>
    </xf>
    <xf numFmtId="0" fontId="28" fillId="11" borderId="0" applyAlignment="1" pivotButton="0" quotePrefix="0" xfId="0">
      <alignment horizontal="left" vertical="center" wrapText="1"/>
    </xf>
    <xf numFmtId="0" fontId="29" fillId="11" borderId="0" applyAlignment="1" pivotButton="0" quotePrefix="0" xfId="0">
      <alignment horizontal="left" vertical="center" wrapText="1"/>
    </xf>
    <xf numFmtId="0" fontId="18" fillId="6" borderId="0" applyAlignment="1" pivotButton="0" quotePrefix="0" xfId="0">
      <alignment horizontal="left" vertical="center" wrapText="1"/>
    </xf>
    <xf numFmtId="0" fontId="30" fillId="6" borderId="0" applyAlignment="1" pivotButton="0" quotePrefix="0" xfId="0">
      <alignment horizontal="left" vertical="center" wrapText="1"/>
    </xf>
    <xf numFmtId="0" fontId="18" fillId="5" borderId="0" applyAlignment="1" pivotButton="0" quotePrefix="0" xfId="0">
      <alignment horizontal="left" vertical="center" wrapText="1"/>
    </xf>
    <xf numFmtId="0" fontId="31" fillId="5" borderId="0" applyAlignment="1" pivotButton="0" quotePrefix="0" xfId="0">
      <alignment horizontal="left" vertical="center" wrapText="1"/>
    </xf>
    <xf numFmtId="0" fontId="32" fillId="5" borderId="0" applyAlignment="1" pivotButton="0" quotePrefix="0" xfId="0">
      <alignment horizontal="left" vertical="center" wrapText="1"/>
    </xf>
    <xf numFmtId="0" fontId="33" fillId="5" borderId="0" applyAlignment="1" pivotButton="0" quotePrefix="0" xfId="0">
      <alignment horizontal="left" vertical="center" wrapText="1"/>
    </xf>
    <xf numFmtId="0" fontId="34" fillId="7" borderId="2" applyAlignment="1" pivotButton="0" quotePrefix="0" xfId="0">
      <alignment horizontal="center" vertical="center" wrapText="1"/>
    </xf>
    <xf numFmtId="0" fontId="11" fillId="6" borderId="2" applyAlignment="1" pivotButton="0" quotePrefix="0" xfId="0">
      <alignment horizontal="center" vertical="center" wrapText="1"/>
    </xf>
    <xf numFmtId="0" fontId="13" fillId="8" borderId="2" applyAlignment="1" pivotButton="0" quotePrefix="0" xfId="0">
      <alignment horizontal="center" vertical="center" wrapText="1"/>
    </xf>
    <xf numFmtId="0" fontId="33" fillId="5" borderId="2" applyAlignment="1" pivotButton="0" quotePrefix="0" xfId="0">
      <alignment horizontal="center" vertical="center" wrapText="1"/>
    </xf>
    <xf numFmtId="0" fontId="35" fillId="2" borderId="0" applyAlignment="1" pivotButton="0" quotePrefix="0" xfId="0">
      <alignment horizontal="left" vertical="center" wrapText="1"/>
    </xf>
    <xf numFmtId="0" fontId="36" fillId="2" borderId="0" applyAlignment="1" pivotButton="0" quotePrefix="0" xfId="0">
      <alignment horizontal="left" vertical="center" wrapText="1"/>
    </xf>
    <xf numFmtId="0" fontId="37" fillId="3" borderId="0" applyAlignment="1" pivotButton="0" quotePrefix="0" xfId="0">
      <alignment horizontal="left" vertical="center" wrapText="1"/>
    </xf>
    <xf numFmtId="0" fontId="18" fillId="4" borderId="1" applyAlignment="1" pivotButton="0" quotePrefix="0" xfId="0">
      <alignment horizontal="left" vertical="center" wrapText="1"/>
    </xf>
    <xf numFmtId="0" fontId="21" fillId="5" borderId="0" applyAlignment="1" pivotButton="0" quotePrefix="0" xfId="0">
      <alignment horizontal="left" vertical="center" wrapText="1"/>
    </xf>
    <xf numFmtId="0" fontId="22" fillId="4" borderId="2" applyAlignment="1" pivotButton="0" quotePrefix="0" xfId="0">
      <alignment horizontal="left" vertical="center" wrapText="1"/>
    </xf>
    <xf numFmtId="0" fontId="38" fillId="12" borderId="0" applyAlignment="1" pivotButton="0" quotePrefix="0" xfId="0">
      <alignment horizontal="left" vertical="center" wrapText="1"/>
    </xf>
    <xf numFmtId="0" fontId="39" fillId="10" borderId="2" applyAlignment="1" pivotButton="0" quotePrefix="0" xfId="0">
      <alignment horizontal="left" vertical="center" wrapText="1"/>
    </xf>
    <xf numFmtId="0" fontId="22" fillId="4" borderId="9" applyAlignment="1" pivotButton="0" quotePrefix="0" xfId="0">
      <alignment horizontal="center" vertical="center" wrapText="1"/>
    </xf>
    <xf numFmtId="0" fontId="22" fillId="4" borderId="10" applyAlignment="1" pivotButton="0" quotePrefix="0" xfId="0">
      <alignment horizontal="center" vertical="center" wrapText="1"/>
    </xf>
    <xf numFmtId="0" fontId="39" fillId="9" borderId="2" applyAlignment="1" pivotButton="0" quotePrefix="0" xfId="0">
      <alignment horizontal="left" vertical="center" wrapText="1"/>
    </xf>
    <xf numFmtId="0" fontId="22" fillId="9" borderId="2" applyAlignment="1" pivotButton="0" quotePrefix="0" xfId="0">
      <alignment horizontal="left" vertical="center" wrapText="1"/>
    </xf>
    <xf numFmtId="0" fontId="5" fillId="9" borderId="2" applyAlignment="1" pivotButton="0" quotePrefix="0" xfId="0">
      <alignment horizontal="left" vertical="center" wrapText="1"/>
    </xf>
    <xf numFmtId="0" fontId="22" fillId="9" borderId="2" applyAlignment="1" pivotButton="0" quotePrefix="0" xfId="0">
      <alignment horizontal="center" vertical="center" wrapText="1"/>
    </xf>
    <xf numFmtId="0" fontId="38" fillId="13" borderId="0" applyAlignment="1" pivotButton="0" quotePrefix="0" xfId="0">
      <alignment horizontal="left" vertical="center" wrapText="1"/>
    </xf>
    <xf numFmtId="0" fontId="17" fillId="13" borderId="11" applyAlignment="1" pivotButton="0" quotePrefix="0" xfId="0">
      <alignment horizontal="center" vertical="center" wrapText="1"/>
    </xf>
    <xf numFmtId="0" fontId="17" fillId="13" borderId="11" applyAlignment="1" pivotButton="0" quotePrefix="0" xfId="0">
      <alignment horizontal="left" vertical="center" wrapText="1"/>
    </xf>
    <xf numFmtId="0" fontId="40" fillId="10" borderId="2" applyAlignment="1" pivotButton="0" quotePrefix="0" xfId="0">
      <alignment horizontal="center" vertical="center" wrapText="1"/>
    </xf>
    <xf numFmtId="0" fontId="22" fillId="4" borderId="12" applyAlignment="1" pivotButton="0" quotePrefix="0" xfId="0">
      <alignment horizontal="center" vertical="center" wrapText="1"/>
    </xf>
    <xf numFmtId="0" fontId="40" fillId="6" borderId="2" applyAlignment="1" pivotButton="0" quotePrefix="0" xfId="0">
      <alignment horizontal="center" vertical="center" wrapText="1"/>
    </xf>
    <xf numFmtId="0" fontId="22" fillId="6" borderId="2" applyAlignment="1" pivotButton="0" quotePrefix="0" xfId="0">
      <alignment horizontal="left" vertical="center" wrapText="1"/>
    </xf>
    <xf numFmtId="0" fontId="38" fillId="2" borderId="0" applyAlignment="1" pivotButton="0" quotePrefix="0" xfId="0">
      <alignment horizontal="left" vertical="center" wrapText="1"/>
    </xf>
    <xf numFmtId="0" fontId="17" fillId="2" borderId="1" applyAlignment="1" pivotButton="0" quotePrefix="0" xfId="0">
      <alignment horizontal="left" vertical="center" wrapText="1"/>
    </xf>
    <xf numFmtId="0" fontId="37" fillId="10" borderId="2" applyAlignment="1" pivotButton="0" quotePrefix="0" xfId="0">
      <alignment horizontal="center" vertical="center" wrapText="1"/>
    </xf>
    <xf numFmtId="0" fontId="22" fillId="4" borderId="1" applyAlignment="1" pivotButton="0" quotePrefix="0" xfId="0">
      <alignment horizontal="center" vertical="center" wrapText="1"/>
    </xf>
    <xf numFmtId="0" fontId="37" fillId="3" borderId="2" applyAlignment="1" pivotButton="0" quotePrefix="0" xfId="0">
      <alignment horizontal="center" vertical="center" wrapText="1"/>
    </xf>
    <xf numFmtId="0" fontId="22" fillId="3" borderId="2" applyAlignment="1" pivotButton="0" quotePrefix="0" xfId="0">
      <alignment horizontal="left" vertical="center" wrapText="1"/>
    </xf>
    <xf numFmtId="0" fontId="22" fillId="3" borderId="2" applyAlignment="1" pivotButton="0" quotePrefix="0" xfId="0">
      <alignment horizontal="center" vertical="center" wrapText="1"/>
    </xf>
    <xf numFmtId="0" fontId="35" fillId="14" borderId="0" applyAlignment="1" pivotButton="0" quotePrefix="0" xfId="0">
      <alignment horizontal="left" vertical="center" wrapText="1"/>
    </xf>
    <xf numFmtId="0" fontId="41" fillId="14" borderId="0" applyAlignment="1" pivotButton="0" quotePrefix="0" xfId="0">
      <alignment horizontal="left" vertical="center" wrapText="1"/>
    </xf>
    <xf numFmtId="0" fontId="42" fillId="8" borderId="0" applyAlignment="1" pivotButton="0" quotePrefix="0" xfId="0">
      <alignment horizontal="left" vertical="center" wrapText="1"/>
    </xf>
    <xf numFmtId="0" fontId="43" fillId="8" borderId="0" applyAlignment="1" pivotButton="0" quotePrefix="0" xfId="0">
      <alignment horizontal="left" vertical="center" wrapText="1"/>
    </xf>
    <xf numFmtId="0" fontId="17" fillId="14" borderId="6" applyAlignment="1" pivotButton="0" quotePrefix="0" xfId="0">
      <alignment horizontal="center" vertical="center" wrapText="1"/>
    </xf>
    <xf numFmtId="0" fontId="42" fillId="10" borderId="2" applyAlignment="1" pivotButton="0" quotePrefix="0" xfId="0">
      <alignment horizontal="center" vertical="center" wrapText="1"/>
    </xf>
    <xf numFmtId="4" fontId="22" fillId="10" borderId="2" applyAlignment="1" pivotButton="0" quotePrefix="0" xfId="0">
      <alignment horizontal="left" vertical="center" wrapText="1"/>
    </xf>
    <xf numFmtId="0" fontId="42" fillId="8" borderId="2" applyAlignment="1" pivotButton="0" quotePrefix="0" xfId="0">
      <alignment horizontal="center" vertical="center" wrapText="1"/>
    </xf>
    <xf numFmtId="0" fontId="22" fillId="8" borderId="2" applyAlignment="1" pivotButton="0" quotePrefix="0" xfId="0">
      <alignment horizontal="left" vertical="center" wrapText="1"/>
    </xf>
    <xf numFmtId="4" fontId="22" fillId="8" borderId="2" applyAlignment="1" pivotButton="0" quotePrefix="0" xfId="0">
      <alignment horizontal="left" vertical="center" wrapText="1"/>
    </xf>
    <xf numFmtId="0" fontId="44" fillId="14" borderId="0" applyAlignment="1" pivotButton="0" quotePrefix="0" xfId="0">
      <alignment horizontal="right" vertical="center" wrapText="1"/>
    </xf>
    <xf numFmtId="4" fontId="45" fillId="8" borderId="13" applyAlignment="1" pivotButton="0" quotePrefix="0" xfId="0">
      <alignment horizontal="center" vertical="center" wrapText="1"/>
    </xf>
    <xf numFmtId="0" fontId="46" fillId="5" borderId="0" applyAlignment="1" pivotButton="0" quotePrefix="0" xfId="0">
      <alignment horizontal="center" vertical="center" wrapText="1"/>
    </xf>
    <xf numFmtId="0" fontId="42" fillId="8" borderId="0" applyAlignment="1" pivotButton="0" quotePrefix="0" xfId="0">
      <alignment horizontal="right" vertical="center" wrapText="1"/>
    </xf>
    <xf numFmtId="0" fontId="47" fillId="8" borderId="13" applyAlignment="1" pivotButton="0" quotePrefix="0" xfId="0">
      <alignment horizontal="center" vertical="center" wrapText="1"/>
    </xf>
    <xf numFmtId="0" fontId="48" fillId="2" borderId="0" applyAlignment="1" pivotButton="0" quotePrefix="0" xfId="0">
      <alignment horizontal="left" vertical="center" wrapText="1"/>
    </xf>
    <xf numFmtId="0" fontId="49" fillId="6" borderId="0" applyAlignment="1" pivotButton="0" quotePrefix="0" xfId="0">
      <alignment horizontal="left" vertical="center" wrapText="1"/>
    </xf>
    <xf numFmtId="0" fontId="50" fillId="3" borderId="0" applyAlignment="1" pivotButton="0" quotePrefix="0" xfId="0">
      <alignment horizontal="left" vertical="center" wrapText="1"/>
    </xf>
    <xf numFmtId="0" fontId="51" fillId="9" borderId="0" applyAlignment="1" pivotButton="0" quotePrefix="0" xfId="0">
      <alignment horizontal="left" vertical="center" wrapText="1"/>
    </xf>
    <xf numFmtId="0" fontId="23" fillId="9" borderId="2" applyAlignment="1" pivotButton="0" quotePrefix="0" xfId="0">
      <alignment horizontal="center" vertical="center" wrapText="1"/>
    </xf>
    <xf numFmtId="0" fontId="20" fillId="9" borderId="2" applyAlignment="1" pivotButton="0" quotePrefix="0" xfId="0">
      <alignment horizontal="left" vertical="center" wrapText="1"/>
    </xf>
    <xf numFmtId="0" fontId="37" fillId="3" borderId="2" applyAlignment="1" pivotButton="0" quotePrefix="0" xfId="0">
      <alignment horizontal="left" vertical="center" wrapText="1"/>
    </xf>
    <xf numFmtId="0" fontId="25" fillId="3" borderId="2" applyAlignment="1" pivotButton="0" quotePrefix="0" xfId="0">
      <alignment horizontal="left" vertical="center" wrapText="1"/>
    </xf>
    <xf numFmtId="0" fontId="52" fillId="3" borderId="2" applyAlignment="1" pivotButton="0" quotePrefix="0" xfId="0">
      <alignment horizontal="left" vertical="center" wrapText="1"/>
    </xf>
    <xf numFmtId="0" fontId="27" fillId="3" borderId="2" applyAlignment="1" pivotButton="0" quotePrefix="0" xfId="0">
      <alignment horizontal="left" vertical="center" wrapText="1"/>
    </xf>
    <xf numFmtId="0" fontId="53" fillId="11" borderId="2" applyAlignment="1" pivotButton="0" quotePrefix="0" xfId="0">
      <alignment horizontal="left" vertical="center" wrapText="1"/>
    </xf>
    <xf numFmtId="0" fontId="29" fillId="11" borderId="2" applyAlignment="1" pivotButton="0" quotePrefix="0" xfId="0">
      <alignment horizontal="left" vertical="center" wrapText="1"/>
    </xf>
    <xf numFmtId="0" fontId="40" fillId="6" borderId="2" applyAlignment="1" pivotButton="0" quotePrefix="0" xfId="0">
      <alignment horizontal="left" vertical="center" wrapText="1"/>
    </xf>
    <xf numFmtId="0" fontId="6" fillId="6" borderId="2" applyAlignment="1" pivotButton="0" quotePrefix="0" xfId="0">
      <alignment horizontal="left" vertical="center" wrapText="1"/>
    </xf>
  </cellXfs>
  <cellStyles count="1">
    <cellStyle name="Normal" xfId="0" builtinId="0" hidden="0"/>
  </cellStyles>
  <dxfs count="3">
    <dxf>
      <font>
        <name val="Arial"/>
        <b val="1"/>
        <color rgb="0027500A"/>
        <sz val="9"/>
      </font>
      <fill>
        <patternFill patternType="solid">
          <fgColor rgb="00EAF3DE"/>
        </patternFill>
      </fill>
    </dxf>
    <dxf>
      <font>
        <name val="Arial"/>
        <b val="1"/>
        <color rgb="00854F0B"/>
        <sz val="9"/>
      </font>
      <fill>
        <patternFill patternType="solid">
          <fgColor rgb="00FAEEDA"/>
        </patternFill>
      </fill>
    </dxf>
    <dxf>
      <font>
        <name val="Arial"/>
        <b val="1"/>
        <color rgb="00A32D2D"/>
        <sz val="9"/>
      </font>
      <fill>
        <patternFill patternType="solid">
          <fgColor rgb="00FCEB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N52"/>
  <sheetViews>
    <sheetView showGridLines="0" workbookViewId="0">
      <pane ySplit="9" topLeftCell="A10" activePane="bottomLeft" state="frozen"/>
      <selection pane="bottomLeft" activeCell="A1" sqref="A1"/>
    </sheetView>
  </sheetViews>
  <sheetFormatPr baseColWidth="8" defaultRowHeight="15"/>
  <cols>
    <col width="3" customWidth="1" min="1" max="1"/>
    <col width="5" customWidth="1" min="2" max="2"/>
    <col width="28" customWidth="1" min="3" max="3"/>
    <col width="22" customWidth="1" min="4" max="4"/>
    <col width="1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8" customHeight="1"/>
    <row r="2" ht="32" customHeight="1">
      <c r="A2" s="1" t="inlineStr">
        <is>
          <t>KILIMA Holdings — Tableau de Bord DFI</t>
        </is>
      </c>
      <c r="K2" s="2" t="inlineStr">
        <is>
          <t>Contrôle Opérationnel Quotidien</t>
        </is>
      </c>
    </row>
    <row r="3" ht="20" customHeight="1">
      <c r="A3" s="3" t="inlineStr">
        <is>
          <t>Date de suivi :</t>
        </is>
      </c>
      <c r="C3" s="4" t="inlineStr">
        <is>
          <t>16/06/2026</t>
        </is>
      </c>
      <c r="E3" s="5" t="inlineStr">
        <is>
          <t>Mise à jour par :</t>
        </is>
      </c>
      <c r="G3" s="6" t="inlineStr">
        <is>
          <t>DFI</t>
        </is>
      </c>
    </row>
    <row r="4" ht="20" customHeight="1">
      <c r="A4" s="7" t="inlineStr">
        <is>
          <t>← Saisissez la date et mettez à jour le statut de chaque tâche dans la colonne STATUT</t>
        </is>
      </c>
    </row>
    <row r="5" ht="8" customHeight="1"/>
    <row r="6" ht="18" customHeight="1">
      <c r="A6" s="8" t="inlineStr">
        <is>
          <t>Tâches attendues</t>
        </is>
      </c>
      <c r="D6" s="9" t="inlineStr">
        <is>
          <t>Reçues &amp; conformes</t>
        </is>
      </c>
      <c r="G6" s="10" t="inlineStr">
        <is>
          <t>En retard / manquantes</t>
        </is>
      </c>
      <c r="J6" s="11" t="inlineStr">
        <is>
          <t>Anomalies détectées</t>
        </is>
      </c>
      <c r="M6" s="12" t="inlineStr">
        <is>
          <t>Taux de conformité</t>
        </is>
      </c>
    </row>
    <row r="7" ht="30" customHeight="1">
      <c r="A7" s="13">
        <f>COUNTA(F11:F70)</f>
        <v/>
      </c>
      <c r="D7" s="14">
        <f>COUNTIF(F11:F70,"OK")</f>
        <v/>
      </c>
      <c r="G7" s="15">
        <f>COUNTIF(F11:F70,"RETARD")+COUNTIF(F11:F70,"MANQUANT")</f>
        <v/>
      </c>
      <c r="J7" s="16">
        <f>COUNTIF(F11:F70,"ANOMALIE")</f>
        <v/>
      </c>
      <c r="M7" s="17">
        <f>IF(COUNTA(F11:F70)&gt;0,COUNTIF(F11:F70,"OK")/COUNTA(F11:F70),0)</f>
        <v/>
      </c>
    </row>
    <row r="8" ht="8" customHeight="1"/>
    <row r="9" ht="24" customHeight="1">
      <c r="A9" s="18" t="inlineStr"/>
      <c r="B9" s="18" t="inlineStr">
        <is>
          <t>N°</t>
        </is>
      </c>
      <c r="C9" s="18" t="inlineStr">
        <is>
          <t>Tâche attendue</t>
        </is>
      </c>
      <c r="D9" s="18" t="inlineStr">
        <is>
          <t>Responsable</t>
        </is>
      </c>
      <c r="E9" s="18" t="inlineStr">
        <is>
          <t>Délai limite</t>
        </is>
      </c>
      <c r="F9" s="18" t="inlineStr">
        <is>
          <t>STATUT</t>
        </is>
      </c>
      <c r="G9" s="18" t="inlineStr">
        <is>
          <t>Heure réelle</t>
        </is>
      </c>
      <c r="H9" s="18" t="inlineStr">
        <is>
          <t>Anomalie / Observation</t>
        </is>
      </c>
    </row>
    <row r="10" ht="18" customHeight="1">
      <c r="A10" s="19" t="inlineStr"/>
      <c r="B10" s="20" t="inlineStr">
        <is>
          <t>KAKO Logistique</t>
        </is>
      </c>
      <c r="F10" s="21">
        <f>COUNTIF(F11:F15,"OK")&amp;" OK  |  "&amp;COUNTIF(F11:F15,"RETARD")&amp;" retard  |  "&amp;COUNTIF(F11:F15,"ANOMALIE")&amp;" anomalie"</f>
        <v/>
      </c>
    </row>
    <row r="11" ht="20" customHeight="1">
      <c r="A11" s="19" t="inlineStr"/>
      <c r="B11" s="22" t="n">
        <v>1</v>
      </c>
      <c r="C11" s="23" t="inlineStr">
        <is>
          <t>Fiche Course journalière transmise (canal Teams KL)</t>
        </is>
      </c>
      <c r="D11" s="24" t="inlineStr">
        <is>
          <t>Ass. Tech. Vinciane</t>
        </is>
      </c>
      <c r="E11" s="25" t="inlineStr">
        <is>
          <t>18h00</t>
        </is>
      </c>
      <c r="F11" s="26" t="inlineStr">
        <is>
          <t>EN ATTENTE</t>
        </is>
      </c>
      <c r="G11" s="27" t="inlineStr"/>
      <c r="H11" s="23" t="inlineStr"/>
    </row>
    <row r="12" ht="20" customHeight="1">
      <c r="A12" s="19" t="inlineStr"/>
      <c r="B12" s="28" t="n">
        <v>2</v>
      </c>
      <c r="C12" s="29" t="inlineStr">
        <is>
          <t>Rapport journalier KAKO Log. transmis au DFI</t>
        </is>
      </c>
      <c r="D12" s="30" t="inlineStr">
        <is>
          <t>Franck MUTWALE</t>
        </is>
      </c>
      <c r="E12" s="31" t="inlineStr">
        <is>
          <t>18h00</t>
        </is>
      </c>
      <c r="F12" s="26" t="inlineStr">
        <is>
          <t>EN ATTENTE</t>
        </is>
      </c>
      <c r="G12" s="32" t="inlineStr"/>
      <c r="H12" s="29" t="inlineStr"/>
    </row>
    <row r="13" ht="20" customHeight="1">
      <c r="A13" s="19" t="inlineStr"/>
      <c r="B13" s="22" t="n">
        <v>3</v>
      </c>
      <c r="C13" s="23" t="inlineStr">
        <is>
          <t>Avances carburant courses justifiées</t>
        </is>
      </c>
      <c r="D13" s="24" t="inlineStr">
        <is>
          <t>Vinciane / Eliane</t>
        </is>
      </c>
      <c r="E13" s="25" t="inlineStr">
        <is>
          <t>20h00</t>
        </is>
      </c>
      <c r="F13" s="26" t="inlineStr">
        <is>
          <t>EN ATTENTE</t>
        </is>
      </c>
      <c r="G13" s="27" t="inlineStr"/>
      <c r="H13" s="23" t="inlineStr"/>
    </row>
    <row r="14" ht="20" customHeight="1">
      <c r="A14" s="19" t="inlineStr"/>
      <c r="B14" s="28" t="n">
        <v>4</v>
      </c>
      <c r="C14" s="29" t="inlineStr">
        <is>
          <t>Tableau disponibilité flotte mis à jour</t>
        </is>
      </c>
      <c r="D14" s="30" t="inlineStr">
        <is>
          <t>Dispatcher</t>
        </is>
      </c>
      <c r="E14" s="31" t="inlineStr">
        <is>
          <t>18h00</t>
        </is>
      </c>
      <c r="F14" s="26" t="inlineStr">
        <is>
          <t>EN ATTENTE</t>
        </is>
      </c>
      <c r="G14" s="32" t="inlineStr"/>
      <c r="H14" s="29" t="inlineStr"/>
    </row>
    <row r="15" ht="20" customHeight="1">
      <c r="A15" s="19" t="inlineStr"/>
      <c r="B15" s="22" t="n">
        <v>5</v>
      </c>
      <c r="C15" s="23" t="inlineStr">
        <is>
          <t>Journal de caisse KAKO Log. (Eliane)</t>
        </is>
      </c>
      <c r="D15" s="24" t="inlineStr">
        <is>
          <t>Eliane MUSOLO</t>
        </is>
      </c>
      <c r="E15" s="25" t="inlineStr">
        <is>
          <t>17h30</t>
        </is>
      </c>
      <c r="F15" s="26" t="inlineStr">
        <is>
          <t>EN ATTENTE</t>
        </is>
      </c>
      <c r="G15" s="27" t="inlineStr"/>
      <c r="H15" s="23" t="inlineStr"/>
    </row>
    <row r="16" ht="18" customHeight="1">
      <c r="A16" s="33" t="inlineStr"/>
      <c r="B16" s="3" t="inlineStr">
        <is>
          <t>DAKAM Sarl</t>
        </is>
      </c>
      <c r="F16" s="34">
        <f>COUNTIF(F17:F20,"OK")&amp;" OK  |  "&amp;COUNTIF(F17:F20,"RETARD")&amp;" retard  |  "&amp;COUNTIF(F17:F20,"ANOMALIE")&amp;" anomalie"</f>
        <v/>
      </c>
    </row>
    <row r="17" ht="20" customHeight="1">
      <c r="A17" s="33" t="inlineStr"/>
      <c r="B17" s="28" t="n">
        <v>6</v>
      </c>
      <c r="C17" s="29" t="inlineStr">
        <is>
          <t>Journal comptable DAKAM saisi</t>
        </is>
      </c>
      <c r="D17" s="30" t="inlineStr">
        <is>
          <t>Jacques MALIGIJA</t>
        </is>
      </c>
      <c r="E17" s="31" t="inlineStr">
        <is>
          <t>18h00</t>
        </is>
      </c>
      <c r="F17" s="26" t="inlineStr">
        <is>
          <t>EN ATTENTE</t>
        </is>
      </c>
      <c r="G17" s="32" t="inlineStr"/>
      <c r="H17" s="29" t="inlineStr"/>
    </row>
    <row r="18" ht="20" customHeight="1">
      <c r="A18" s="33" t="inlineStr"/>
      <c r="B18" s="22" t="n">
        <v>7</v>
      </c>
      <c r="C18" s="23" t="inlineStr">
        <is>
          <t>Stock GCK consulté — rapport stock transmis</t>
        </is>
      </c>
      <c r="D18" s="24" t="inlineStr">
        <is>
          <t>Jacques MALIGIJA</t>
        </is>
      </c>
      <c r="E18" s="25" t="inlineStr">
        <is>
          <t>9h00</t>
        </is>
      </c>
      <c r="F18" s="26" t="inlineStr">
        <is>
          <t>EN ATTENTE</t>
        </is>
      </c>
      <c r="G18" s="27" t="inlineStr"/>
      <c r="H18" s="23" t="inlineStr"/>
    </row>
    <row r="19" ht="20" customHeight="1">
      <c r="A19" s="33" t="inlineStr"/>
      <c r="B19" s="28" t="n">
        <v>8</v>
      </c>
      <c r="C19" s="29" t="inlineStr">
        <is>
          <t>Commandes clients enregistrées dans appli GCK</t>
        </is>
      </c>
      <c r="D19" s="30" t="inlineStr">
        <is>
          <t>Jacques MALIGIJA</t>
        </is>
      </c>
      <c r="E19" s="31" t="inlineStr">
        <is>
          <t>18h00</t>
        </is>
      </c>
      <c r="F19" s="26" t="inlineStr">
        <is>
          <t>EN ATTENTE</t>
        </is>
      </c>
      <c r="G19" s="32" t="inlineStr"/>
      <c r="H19" s="29" t="inlineStr"/>
    </row>
    <row r="20" ht="20" customHeight="1">
      <c r="A20" s="33" t="inlineStr"/>
      <c r="B20" s="22" t="n">
        <v>9</v>
      </c>
      <c r="C20" s="23" t="inlineStr">
        <is>
          <t>Journal de caisse DAKAM (Eliane)</t>
        </is>
      </c>
      <c r="D20" s="24" t="inlineStr">
        <is>
          <t>Eliane MUSOLO</t>
        </is>
      </c>
      <c r="E20" s="25" t="inlineStr">
        <is>
          <t>17h30</t>
        </is>
      </c>
      <c r="F20" s="26" t="inlineStr">
        <is>
          <t>EN ATTENTE</t>
        </is>
      </c>
      <c r="G20" s="27" t="inlineStr"/>
      <c r="H20" s="23" t="inlineStr"/>
    </row>
    <row r="21" ht="18" customHeight="1">
      <c r="A21" s="33" t="inlineStr"/>
      <c r="B21" s="35" t="inlineStr">
        <is>
          <t>KAKO Sarl — Likasi</t>
        </is>
      </c>
      <c r="F21" s="36">
        <f>COUNTIF(F22:F25,"OK")&amp;" OK  |  "&amp;COUNTIF(F22:F25,"RETARD")&amp;" retard  |  "&amp;COUNTIF(F22:F25,"ANOMALIE")&amp;" anomalie"</f>
        <v/>
      </c>
    </row>
    <row r="22" ht="20" customHeight="1">
      <c r="A22" s="33" t="inlineStr"/>
      <c r="B22" s="28" t="n">
        <v>10</v>
      </c>
      <c r="C22" s="29" t="inlineStr">
        <is>
          <t>Registre ventes retail transmis</t>
        </is>
      </c>
      <c r="D22" s="30" t="inlineStr">
        <is>
          <t>Vendeur Likasi</t>
        </is>
      </c>
      <c r="E22" s="31" t="inlineStr">
        <is>
          <t>18h00</t>
        </is>
      </c>
      <c r="F22" s="26" t="inlineStr">
        <is>
          <t>EN ATTENTE</t>
        </is>
      </c>
      <c r="G22" s="32" t="inlineStr"/>
      <c r="H22" s="29" t="inlineStr"/>
    </row>
    <row r="23" ht="20" customHeight="1">
      <c r="A23" s="33" t="inlineStr"/>
      <c r="B23" s="22" t="n">
        <v>11</v>
      </c>
      <c r="C23" s="23" t="inlineStr">
        <is>
          <t>Journal de caisse Likasi clôturé et transmis</t>
        </is>
      </c>
      <c r="D23" s="24" t="inlineStr">
        <is>
          <t>Raphael KYUNGU</t>
        </is>
      </c>
      <c r="E23" s="25" t="inlineStr">
        <is>
          <t>18h00</t>
        </is>
      </c>
      <c r="F23" s="26" t="inlineStr">
        <is>
          <t>EN ATTENTE</t>
        </is>
      </c>
      <c r="G23" s="27" t="inlineStr"/>
      <c r="H23" s="23" t="inlineStr"/>
    </row>
    <row r="24" ht="20" customHeight="1">
      <c r="A24" s="33" t="inlineStr"/>
      <c r="B24" s="28" t="n">
        <v>12</v>
      </c>
      <c r="C24" s="29" t="inlineStr">
        <is>
          <t>Stock journalier KAKO Likasi mis à jour</t>
        </is>
      </c>
      <c r="D24" s="30" t="inlineStr">
        <is>
          <t>Responsable PV</t>
        </is>
      </c>
      <c r="E24" s="31" t="inlineStr">
        <is>
          <t>18h00</t>
        </is>
      </c>
      <c r="F24" s="26" t="inlineStr">
        <is>
          <t>EN ATTENTE</t>
        </is>
      </c>
      <c r="G24" s="32" t="inlineStr"/>
      <c r="H24" s="29" t="inlineStr"/>
    </row>
    <row r="25" ht="20" customHeight="1">
      <c r="A25" s="33" t="inlineStr"/>
      <c r="B25" s="22" t="n">
        <v>13</v>
      </c>
      <c r="C25" s="23" t="inlineStr">
        <is>
          <t>Réconciliation caisse / ventes (si écart)</t>
        </is>
      </c>
      <c r="D25" s="24" t="inlineStr">
        <is>
          <t>Raphael KYUNGU</t>
        </is>
      </c>
      <c r="E25" s="25" t="inlineStr">
        <is>
          <t>18h30</t>
        </is>
      </c>
      <c r="F25" s="26" t="inlineStr">
        <is>
          <t>EN ATTENTE</t>
        </is>
      </c>
      <c r="G25" s="27" t="inlineStr"/>
      <c r="H25" s="23" t="inlineStr"/>
    </row>
    <row r="26" ht="18" customHeight="1">
      <c r="A26" s="37" t="inlineStr"/>
      <c r="B26" s="38" t="inlineStr">
        <is>
          <t>KAKO Sarl — Kolwezi</t>
        </is>
      </c>
      <c r="F26" s="39">
        <f>COUNTIF(F27:F30,"OK")&amp;" OK  |  "&amp;COUNTIF(F27:F30,"RETARD")&amp;" retard  |  "&amp;COUNTIF(F27:F30,"ANOMALIE")&amp;" anomalie"</f>
        <v/>
      </c>
    </row>
    <row r="27" ht="20" customHeight="1">
      <c r="A27" s="37" t="inlineStr"/>
      <c r="B27" s="28" t="n">
        <v>14</v>
      </c>
      <c r="C27" s="29" t="inlineStr">
        <is>
          <t>Registre ventes retail transmis (Patient KAPEND)</t>
        </is>
      </c>
      <c r="D27" s="30" t="inlineStr">
        <is>
          <t>Patient KAPEND</t>
        </is>
      </c>
      <c r="E27" s="31" t="inlineStr">
        <is>
          <t>18h00</t>
        </is>
      </c>
      <c r="F27" s="26" t="inlineStr">
        <is>
          <t>EN ATTENTE</t>
        </is>
      </c>
      <c r="G27" s="32" t="inlineStr"/>
      <c r="H27" s="29" t="inlineStr"/>
    </row>
    <row r="28" ht="20" customHeight="1">
      <c r="A28" s="37" t="inlineStr"/>
      <c r="B28" s="22" t="n">
        <v>15</v>
      </c>
      <c r="C28" s="23" t="inlineStr">
        <is>
          <t>Journal de caisse Kolwezi clôturé</t>
        </is>
      </c>
      <c r="D28" s="24" t="inlineStr">
        <is>
          <t>Patient KAPEND</t>
        </is>
      </c>
      <c r="E28" s="25" t="inlineStr">
        <is>
          <t>18h00</t>
        </is>
      </c>
      <c r="F28" s="26" t="inlineStr">
        <is>
          <t>EN ATTENTE</t>
        </is>
      </c>
      <c r="G28" s="27" t="inlineStr"/>
      <c r="H28" s="23" t="inlineStr"/>
    </row>
    <row r="29" ht="20" customHeight="1">
      <c r="A29" s="37" t="inlineStr"/>
      <c r="B29" s="28" t="n">
        <v>16</v>
      </c>
      <c r="C29" s="29" t="inlineStr">
        <is>
          <t>Stock journalier mis à jour (Resp. IT Kolwezi)</t>
        </is>
      </c>
      <c r="D29" s="30" t="inlineStr">
        <is>
          <t>Responsable IT</t>
        </is>
      </c>
      <c r="E29" s="31" t="inlineStr">
        <is>
          <t>18h00</t>
        </is>
      </c>
      <c r="F29" s="26" t="inlineStr">
        <is>
          <t>EN ATTENTE</t>
        </is>
      </c>
      <c r="G29" s="32" t="inlineStr"/>
      <c r="H29" s="29" t="inlineStr"/>
    </row>
    <row r="30" ht="20" customHeight="1">
      <c r="A30" s="37" t="inlineStr"/>
      <c r="B30" s="22" t="n">
        <v>17</v>
      </c>
      <c r="C30" s="23" t="inlineStr">
        <is>
          <t>PV contrôle caisse hebdo signé (vendredi seulement)</t>
        </is>
      </c>
      <c r="D30" s="24" t="inlineStr">
        <is>
          <t>Resp. Inventaire IT</t>
        </is>
      </c>
      <c r="E30" s="25" t="inlineStr">
        <is>
          <t>18h00</t>
        </is>
      </c>
      <c r="F30" s="26" t="inlineStr">
        <is>
          <t>EN ATTENTE</t>
        </is>
      </c>
      <c r="G30" s="27" t="inlineStr"/>
      <c r="H30" s="23" t="inlineStr"/>
    </row>
    <row r="31" ht="18" customHeight="1">
      <c r="A31" s="19" t="inlineStr"/>
      <c r="B31" s="20" t="inlineStr">
        <is>
          <t>Guest House Relax</t>
        </is>
      </c>
      <c r="F31" s="21">
        <f>COUNTIF(F32:F37,"OK")&amp;" OK  |  "&amp;COUNTIF(F32:F37,"RETARD")&amp;" retard  |  "&amp;COUNTIF(F32:F37,"ANOMALIE")&amp;" anomalie"</f>
        <v/>
      </c>
    </row>
    <row r="32" ht="20" customHeight="1">
      <c r="A32" s="19" t="inlineStr"/>
      <c r="B32" s="28" t="n">
        <v>18</v>
      </c>
      <c r="C32" s="29" t="inlineStr">
        <is>
          <t>Registre hébergement remis à Raphael T</t>
        </is>
      </c>
      <c r="D32" s="30" t="inlineStr">
        <is>
          <t>Réceptionniste</t>
        </is>
      </c>
      <c r="E32" s="31" t="inlineStr">
        <is>
          <t>9h00</t>
        </is>
      </c>
      <c r="F32" s="26" t="inlineStr">
        <is>
          <t>EN ATTENTE</t>
        </is>
      </c>
      <c r="G32" s="32" t="inlineStr"/>
      <c r="H32" s="29" t="inlineStr"/>
    </row>
    <row r="33" ht="20" customHeight="1">
      <c r="A33" s="19" t="inlineStr"/>
      <c r="B33" s="22" t="n">
        <v>19</v>
      </c>
      <c r="C33" s="23" t="inlineStr">
        <is>
          <t>Factures DGI régularisées (Raphael T)</t>
        </is>
      </c>
      <c r="D33" s="24" t="inlineStr">
        <is>
          <t>Raphael T</t>
        </is>
      </c>
      <c r="E33" s="25" t="inlineStr">
        <is>
          <t>10h00</t>
        </is>
      </c>
      <c r="F33" s="26" t="inlineStr">
        <is>
          <t>EN ATTENTE</t>
        </is>
      </c>
      <c r="G33" s="27" t="inlineStr"/>
      <c r="H33" s="23" t="inlineStr"/>
    </row>
    <row r="34" ht="20" customHeight="1">
      <c r="A34" s="19" t="inlineStr"/>
      <c r="B34" s="28" t="n">
        <v>20</v>
      </c>
      <c r="C34" s="29" t="inlineStr">
        <is>
          <t>Avance achats alimentaires justifiée (Idris)</t>
        </is>
      </c>
      <c r="D34" s="30" t="inlineStr">
        <is>
          <t>Acheteur Idris</t>
        </is>
      </c>
      <c r="E34" s="31" t="inlineStr">
        <is>
          <t>14h00</t>
        </is>
      </c>
      <c r="F34" s="26" t="inlineStr">
        <is>
          <t>EN ATTENTE</t>
        </is>
      </c>
      <c r="G34" s="32" t="inlineStr"/>
      <c r="H34" s="29" t="inlineStr"/>
    </row>
    <row r="35" ht="20" customHeight="1">
      <c r="A35" s="19" t="inlineStr"/>
      <c r="B35" s="22" t="n">
        <v>21</v>
      </c>
      <c r="C35" s="23" t="inlineStr">
        <is>
          <t>Rapport journalier GHR transmis au DFI</t>
        </is>
      </c>
      <c r="D35" s="24" t="inlineStr">
        <is>
          <t>Raphael T</t>
        </is>
      </c>
      <c r="E35" s="25" t="inlineStr">
        <is>
          <t>18h00</t>
        </is>
      </c>
      <c r="F35" s="26" t="inlineStr">
        <is>
          <t>EN ATTENTE</t>
        </is>
      </c>
      <c r="G35" s="27" t="inlineStr"/>
      <c r="H35" s="23" t="inlineStr"/>
    </row>
    <row r="36" ht="20" customHeight="1">
      <c r="A36" s="19" t="inlineStr"/>
      <c r="B36" s="28" t="n">
        <v>22</v>
      </c>
      <c r="C36" s="29" t="inlineStr">
        <is>
          <t>Bordereau consolidé GHR préparé (agent GHR)</t>
        </is>
      </c>
      <c r="D36" s="30" t="inlineStr">
        <is>
          <t>Agent GHR</t>
        </is>
      </c>
      <c r="E36" s="31" t="inlineStr">
        <is>
          <t>22h00</t>
        </is>
      </c>
      <c r="F36" s="26" t="inlineStr">
        <is>
          <t>EN ATTENTE</t>
        </is>
      </c>
      <c r="G36" s="32" t="inlineStr"/>
      <c r="H36" s="29" t="inlineStr"/>
    </row>
    <row r="37" ht="20" customHeight="1">
      <c r="A37" s="19" t="inlineStr"/>
      <c r="B37" s="22" t="n">
        <v>23</v>
      </c>
      <c r="C37" s="23" t="inlineStr">
        <is>
          <t>Journal de caisse GHR (Eliane)</t>
        </is>
      </c>
      <c r="D37" s="24" t="inlineStr">
        <is>
          <t>Eliane MUSOLO</t>
        </is>
      </c>
      <c r="E37" s="25" t="inlineStr">
        <is>
          <t>17h30</t>
        </is>
      </c>
      <c r="F37" s="26" t="inlineStr">
        <is>
          <t>EN ATTENTE</t>
        </is>
      </c>
      <c r="G37" s="27" t="inlineStr"/>
      <c r="H37" s="23" t="inlineStr"/>
    </row>
    <row r="38" ht="18" customHeight="1">
      <c r="A38" s="40" t="inlineStr"/>
      <c r="B38" s="41" t="inlineStr">
        <is>
          <t>Ets HORIZON</t>
        </is>
      </c>
      <c r="F38" s="7">
        <f>COUNTIF(F39:F42,"OK")&amp;" OK  |  "&amp;COUNTIF(F39:F42,"RETARD")&amp;" retard  |  "&amp;COUNTIF(F39:F42,"ANOMALIE")&amp;" anomalie"</f>
        <v/>
      </c>
    </row>
    <row r="39" ht="20" customHeight="1">
      <c r="A39" s="40" t="inlineStr"/>
      <c r="B39" s="28" t="n">
        <v>24</v>
      </c>
      <c r="C39" s="29" t="inlineStr">
        <is>
          <t>Fiches Prestation Journalières reçues du dispatch</t>
        </is>
      </c>
      <c r="D39" s="30" t="inlineStr">
        <is>
          <t>Ass. Tech. Vinciane</t>
        </is>
      </c>
      <c r="E39" s="31" t="inlineStr">
        <is>
          <t>17h00</t>
        </is>
      </c>
      <c r="F39" s="26" t="inlineStr">
        <is>
          <t>EN ATTENTE</t>
        </is>
      </c>
      <c r="G39" s="32" t="inlineStr"/>
      <c r="H39" s="29" t="inlineStr"/>
    </row>
    <row r="40" ht="20" customHeight="1">
      <c r="A40" s="40" t="inlineStr"/>
      <c r="B40" s="22" t="n">
        <v>25</v>
      </c>
      <c r="C40" s="23" t="inlineStr">
        <is>
          <t>Tableau suivi prestations HORIZON mis à jour</t>
        </is>
      </c>
      <c r="D40" s="24" t="inlineStr">
        <is>
          <t>Ass. Tech. Vinciane</t>
        </is>
      </c>
      <c r="E40" s="25" t="inlineStr">
        <is>
          <t>18h00</t>
        </is>
      </c>
      <c r="F40" s="26" t="inlineStr">
        <is>
          <t>EN ATTENTE</t>
        </is>
      </c>
      <c r="G40" s="27" t="inlineStr"/>
      <c r="H40" s="23" t="inlineStr"/>
    </row>
    <row r="41" ht="20" customHeight="1">
      <c r="A41" s="40" t="inlineStr"/>
      <c r="B41" s="28" t="n">
        <v>26</v>
      </c>
      <c r="C41" s="29" t="inlineStr">
        <is>
          <t>Rapport journalier HORIZON transmis au DFI</t>
        </is>
      </c>
      <c r="D41" s="30" t="inlineStr">
        <is>
          <t>Ass. Tech. Vinciane</t>
        </is>
      </c>
      <c r="E41" s="31" t="inlineStr">
        <is>
          <t>18h00</t>
        </is>
      </c>
      <c r="F41" s="26" t="inlineStr">
        <is>
          <t>EN ATTENTE</t>
        </is>
      </c>
      <c r="G41" s="32" t="inlineStr"/>
      <c r="H41" s="29" t="inlineStr"/>
    </row>
    <row r="42" ht="20" customHeight="1">
      <c r="A42" s="40" t="inlineStr"/>
      <c r="B42" s="22" t="n">
        <v>27</v>
      </c>
      <c r="C42" s="23" t="inlineStr">
        <is>
          <t>Journal de caisse HORIZON (Eliane)</t>
        </is>
      </c>
      <c r="D42" s="24" t="inlineStr">
        <is>
          <t>Eliane MUSOLO</t>
        </is>
      </c>
      <c r="E42" s="25" t="inlineStr">
        <is>
          <t>17h30</t>
        </is>
      </c>
      <c r="F42" s="26" t="inlineStr">
        <is>
          <t>EN ATTENTE</t>
        </is>
      </c>
      <c r="G42" s="27" t="inlineStr"/>
      <c r="H42" s="23" t="inlineStr"/>
    </row>
    <row r="43" ht="18" customHeight="1">
      <c r="A43" s="42" t="inlineStr"/>
      <c r="B43" s="43" t="inlineStr">
        <is>
          <t>PLANET Sarl</t>
        </is>
      </c>
      <c r="F43" s="44">
        <f>COUNTIF(F44:F45,"OK")&amp;" OK  |  "&amp;COUNTIF(F44:F45,"RETARD")&amp;" retard  |  "&amp;COUNTIF(F44:F45,"ANOMALIE")&amp;" anomalie"</f>
        <v/>
      </c>
    </row>
    <row r="44" ht="20" customHeight="1">
      <c r="A44" s="42" t="inlineStr"/>
      <c r="B44" s="28" t="n">
        <v>28</v>
      </c>
      <c r="C44" s="29" t="inlineStr">
        <is>
          <t>Journal comptable PLANET saisi (si opérations du jour)</t>
        </is>
      </c>
      <c r="D44" s="30" t="inlineStr">
        <is>
          <t>Raphael T</t>
        </is>
      </c>
      <c r="E44" s="31" t="inlineStr">
        <is>
          <t>18h00</t>
        </is>
      </c>
      <c r="F44" s="26" t="inlineStr">
        <is>
          <t>EN ATTENTE</t>
        </is>
      </c>
      <c r="G44" s="32" t="inlineStr"/>
      <c r="H44" s="29" t="inlineStr"/>
    </row>
    <row r="45" ht="20" customHeight="1">
      <c r="A45" s="42" t="inlineStr"/>
      <c r="B45" s="22" t="n">
        <v>29</v>
      </c>
      <c r="C45" s="23" t="inlineStr">
        <is>
          <t>Journal de caisse PLANET (Eliane)</t>
        </is>
      </c>
      <c r="D45" s="24" t="inlineStr">
        <is>
          <t>Eliane MUSOLO</t>
        </is>
      </c>
      <c r="E45" s="25" t="inlineStr">
        <is>
          <t>17h30</t>
        </is>
      </c>
      <c r="F45" s="26" t="inlineStr">
        <is>
          <t>EN ATTENTE</t>
        </is>
      </c>
      <c r="G45" s="27" t="inlineStr"/>
      <c r="H45" s="23" t="inlineStr"/>
    </row>
    <row r="46" ht="18" customHeight="1">
      <c r="A46" s="33" t="inlineStr"/>
      <c r="B46" s="3" t="inlineStr">
        <is>
          <t>Caisse centrale — Eliane MUSOLO</t>
        </is>
      </c>
      <c r="F46" s="34">
        <f>COUNTIF(F47:F50,"OK")&amp;" OK  |  "&amp;COUNTIF(F47:F50,"RETARD")&amp;" retard  |  "&amp;COUNTIF(F47:F50,"ANOMALIE")&amp;" anomalie"</f>
        <v/>
      </c>
    </row>
    <row r="47" ht="20" customHeight="1">
      <c r="A47" s="33" t="inlineStr"/>
      <c r="B47" s="28" t="n">
        <v>30</v>
      </c>
      <c r="C47" s="29" t="inlineStr">
        <is>
          <t>Journal de caisse central clôturé</t>
        </is>
      </c>
      <c r="D47" s="30" t="inlineStr">
        <is>
          <t>Eliane MUSOLO</t>
        </is>
      </c>
      <c r="E47" s="31" t="inlineStr">
        <is>
          <t>17h00</t>
        </is>
      </c>
      <c r="F47" s="26" t="inlineStr">
        <is>
          <t>EN ATTENTE</t>
        </is>
      </c>
      <c r="G47" s="32" t="inlineStr"/>
      <c r="H47" s="29" t="inlineStr"/>
    </row>
    <row r="48" ht="20" customHeight="1">
      <c r="A48" s="33" t="inlineStr"/>
      <c r="B48" s="22" t="n">
        <v>31</v>
      </c>
      <c r="C48" s="23" t="inlineStr">
        <is>
          <t>Rapport de caisse journalier transmis au DFI</t>
        </is>
      </c>
      <c r="D48" s="24" t="inlineStr">
        <is>
          <t>Eliane MUSOLO</t>
        </is>
      </c>
      <c r="E48" s="25" t="inlineStr">
        <is>
          <t>17h30</t>
        </is>
      </c>
      <c r="F48" s="26" t="inlineStr">
        <is>
          <t>EN ATTENTE</t>
        </is>
      </c>
      <c r="G48" s="27" t="inlineStr"/>
      <c r="H48" s="23" t="inlineStr"/>
    </row>
    <row r="49" ht="20" customHeight="1">
      <c r="A49" s="33" t="inlineStr"/>
      <c r="B49" s="28" t="n">
        <v>32</v>
      </c>
      <c r="C49" s="29" t="inlineStr">
        <is>
          <t>Bordereau cession GHR réceptionné (matin)</t>
        </is>
      </c>
      <c r="D49" s="30" t="inlineStr">
        <is>
          <t>Eliane MUSOLO</t>
        </is>
      </c>
      <c r="E49" s="31" t="inlineStr">
        <is>
          <t>9h00</t>
        </is>
      </c>
      <c r="F49" s="26" t="inlineStr">
        <is>
          <t>EN ATTENTE</t>
        </is>
      </c>
      <c r="G49" s="32" t="inlineStr"/>
      <c r="H49" s="29" t="inlineStr"/>
    </row>
    <row r="50" ht="20" customHeight="1">
      <c r="A50" s="33" t="inlineStr"/>
      <c r="B50" s="22" t="n">
        <v>33</v>
      </c>
      <c r="C50" s="23" t="inlineStr">
        <is>
          <t>Avances non justifiées signalées au DFI</t>
        </is>
      </c>
      <c r="D50" s="24" t="inlineStr">
        <is>
          <t>Eliane MUSOLO</t>
        </is>
      </c>
      <c r="E50" s="25" t="inlineStr">
        <is>
          <t>17h30</t>
        </is>
      </c>
      <c r="F50" s="26" t="inlineStr">
        <is>
          <t>EN ATTENTE</t>
        </is>
      </c>
      <c r="G50" s="27" t="inlineStr"/>
      <c r="H50" s="23" t="inlineStr"/>
    </row>
    <row r="51" ht="8" customHeight="1"/>
    <row r="52" ht="16" customHeight="1">
      <c r="A52" s="45" t="inlineStr">
        <is>
          <t>Légende :</t>
        </is>
      </c>
      <c r="C52" s="46" t="inlineStr">
        <is>
          <t xml:space="preserve">  OK  </t>
        </is>
      </c>
      <c r="E52" s="47" t="inlineStr">
        <is>
          <t xml:space="preserve">  RETARD  </t>
        </is>
      </c>
      <c r="G52" s="48" t="inlineStr">
        <is>
          <t xml:space="preserve">  ANOMALIE  </t>
        </is>
      </c>
      <c r="I52" s="48" t="inlineStr">
        <is>
          <t xml:space="preserve">  MANQUANT  </t>
        </is>
      </c>
      <c r="K52" s="49" t="inlineStr">
        <is>
          <t xml:space="preserve">  EN ATTENTE  </t>
        </is>
      </c>
      <c r="M52" s="49" t="inlineStr">
        <is>
          <t xml:space="preserve">  N/A  </t>
        </is>
      </c>
    </row>
  </sheetData>
  <mergeCells count="76">
    <mergeCell ref="J6:L6"/>
    <mergeCell ref="H19:N19"/>
    <mergeCell ref="F21:N21"/>
    <mergeCell ref="H37:N37"/>
    <mergeCell ref="H22:N22"/>
    <mergeCell ref="H28:N28"/>
    <mergeCell ref="G6:I6"/>
    <mergeCell ref="H13:N13"/>
    <mergeCell ref="H47:N47"/>
    <mergeCell ref="H27:N27"/>
    <mergeCell ref="A43"/>
    <mergeCell ref="A38"/>
    <mergeCell ref="H12:N12"/>
    <mergeCell ref="F26:N26"/>
    <mergeCell ref="A10"/>
    <mergeCell ref="D7:F7"/>
    <mergeCell ref="H48:N48"/>
    <mergeCell ref="H24:N24"/>
    <mergeCell ref="H42:N42"/>
    <mergeCell ref="B10:E10"/>
    <mergeCell ref="H15:N15"/>
    <mergeCell ref="H18:N18"/>
    <mergeCell ref="J7:L7"/>
    <mergeCell ref="A31"/>
    <mergeCell ref="B26:E26"/>
    <mergeCell ref="H23:N23"/>
    <mergeCell ref="H32:N32"/>
    <mergeCell ref="H33:N33"/>
    <mergeCell ref="C3:D3"/>
    <mergeCell ref="H14:N14"/>
    <mergeCell ref="F38:N38"/>
    <mergeCell ref="F31:N31"/>
    <mergeCell ref="H30:N30"/>
    <mergeCell ref="F46:N46"/>
    <mergeCell ref="B16:E16"/>
    <mergeCell ref="H29:N29"/>
    <mergeCell ref="H35:N35"/>
    <mergeCell ref="H20:N20"/>
    <mergeCell ref="F43:N43"/>
    <mergeCell ref="A3:B3"/>
    <mergeCell ref="G3:H3"/>
    <mergeCell ref="B46:E46"/>
    <mergeCell ref="H50:N50"/>
    <mergeCell ref="B31:E31"/>
    <mergeCell ref="M7:N7"/>
    <mergeCell ref="H41:N41"/>
    <mergeCell ref="H44:N44"/>
    <mergeCell ref="M6:N6"/>
    <mergeCell ref="B43:E43"/>
    <mergeCell ref="H40:N40"/>
    <mergeCell ref="H9:N9"/>
    <mergeCell ref="B21:E21"/>
    <mergeCell ref="H39:N39"/>
    <mergeCell ref="H25:N25"/>
    <mergeCell ref="A16"/>
    <mergeCell ref="H34:N34"/>
    <mergeCell ref="A46"/>
    <mergeCell ref="H49:N49"/>
    <mergeCell ref="F10:N10"/>
    <mergeCell ref="F16:N16"/>
    <mergeCell ref="H36:N36"/>
    <mergeCell ref="A52:B52"/>
    <mergeCell ref="A4:N4"/>
    <mergeCell ref="A21"/>
    <mergeCell ref="A26"/>
    <mergeCell ref="A6:C6"/>
    <mergeCell ref="G7:I7"/>
    <mergeCell ref="H17:N17"/>
    <mergeCell ref="H11:N11"/>
    <mergeCell ref="B38:E38"/>
    <mergeCell ref="H45:N45"/>
    <mergeCell ref="K2:N2"/>
    <mergeCell ref="A2:J2"/>
    <mergeCell ref="A7:C7"/>
    <mergeCell ref="D6:F6"/>
    <mergeCell ref="E3:F3"/>
  </mergeCells>
  <conditionalFormatting sqref="F10:F51">
    <cfRule type="containsText" priority="1" operator="containsText" dxfId="0" text="OK">
      <formula>NOT(ISERROR(SEARCH("OK",F10)))</formula>
    </cfRule>
    <cfRule type="containsText" priority="2" operator="containsText" dxfId="1" text="RETARD">
      <formula>NOT(ISERROR(SEARCH("RETARD",F10)))</formula>
    </cfRule>
    <cfRule type="containsText" priority="3" operator="containsText" dxfId="2" text="ANOMALIE">
      <formula>NOT(ISERROR(SEARCH("ANOMALIE",F10)))</formula>
    </cfRule>
    <cfRule type="containsText" priority="4" operator="containsText" dxfId="2" text="MANQUANT">
      <formula>NOT(ISERROR(SEARCH("MANQUANT",F10)))</formula>
    </cfRule>
  </conditionalFormatting>
  <dataValidations count="1">
    <dataValidation sqref="F11 F12 F13 F14 F15 F17 F18 F19 F20 F22 F23 F24 F25 F27 F28 F29 F30 F32 F33 F34 F35 F36 F37 F39 F40 F41 F42 F44 F45 F47 F48 F49 F50" showDropDown="0" showInputMessage="0" showErrorMessage="0" allowBlank="1" type="list">
      <formula1>"OK,RETARD,ANOMALIE,MANQUANT,N/A,EN ATTENTE"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N43"/>
  <sheetViews>
    <sheetView showGridLines="0" workbookViewId="0">
      <selection activeCell="A1" sqref="A1"/>
    </sheetView>
  </sheetViews>
  <sheetFormatPr baseColWidth="8" defaultRowHeight="15"/>
  <cols>
    <col width="3" customWidth="1" min="1" max="1"/>
    <col width="5" customWidth="1" min="2" max="2"/>
    <col width="28" customWidth="1" min="3" max="3"/>
    <col width="18" customWidth="1" min="4" max="4"/>
    <col width="1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8" customHeight="1"/>
    <row r="2" ht="28" customHeight="1">
      <c r="A2" s="50" t="inlineStr">
        <is>
          <t>KILIMA Holdings — Suivi Hebdomadaire DFI</t>
        </is>
      </c>
      <c r="K2" s="51" t="inlineStr">
        <is>
          <t>Semaine du … au …</t>
        </is>
      </c>
    </row>
    <row r="3" ht="18" customHeight="1">
      <c r="A3" s="52" t="inlineStr">
        <is>
          <t>Semaine N° :</t>
        </is>
      </c>
      <c r="C3" s="53" t="inlineStr"/>
      <c r="E3" s="54" t="inlineStr">
        <is>
          <t>Du :</t>
        </is>
      </c>
      <c r="F3" s="55" t="inlineStr"/>
      <c r="H3" s="54" t="inlineStr">
        <is>
          <t>Au :</t>
        </is>
      </c>
      <c r="I3" s="55" t="inlineStr"/>
    </row>
    <row r="4" ht="8" customHeight="1"/>
    <row r="5" ht="20" customHeight="1">
      <c r="A5" s="56" t="inlineStr">
        <is>
          <t>1. Rapports hebdomadaires attendus (chaque lundi avant 10h)</t>
        </is>
      </c>
    </row>
    <row r="6" ht="20" customHeight="1">
      <c r="A6" s="18" t="inlineStr">
        <is>
          <t>Réf.</t>
        </is>
      </c>
      <c r="B6" s="18" t="inlineStr">
        <is>
          <t>Entité / Rapport</t>
        </is>
      </c>
      <c r="E6" s="18" t="inlineStr">
        <is>
          <t>Responsable</t>
        </is>
      </c>
      <c r="G6" s="18" t="inlineStr">
        <is>
          <t>Reçu ?</t>
        </is>
      </c>
      <c r="H6" s="18" t="inlineStr">
        <is>
          <t>Heure réception</t>
        </is>
      </c>
      <c r="I6" s="18" t="inlineStr">
        <is>
          <t>Conforme ?</t>
        </is>
      </c>
      <c r="J6" s="18" t="inlineStr">
        <is>
          <t>Observations</t>
        </is>
      </c>
    </row>
    <row r="7" ht="20" customHeight="1">
      <c r="A7" s="57" t="inlineStr">
        <is>
          <t>RAP-H-01</t>
        </is>
      </c>
      <c r="B7" s="29" t="inlineStr">
        <is>
          <t>KAKO Logistique</t>
        </is>
      </c>
      <c r="E7" s="30" t="inlineStr">
        <is>
          <t>Franck MUTWALE</t>
        </is>
      </c>
      <c r="G7" s="58" t="inlineStr"/>
      <c r="H7" s="32" t="inlineStr"/>
      <c r="I7" s="59" t="inlineStr"/>
      <c r="J7" s="29" t="inlineStr"/>
    </row>
    <row r="8" ht="20" customHeight="1">
      <c r="A8" s="60" t="inlineStr">
        <is>
          <t>RAP-H-02</t>
        </is>
      </c>
      <c r="B8" s="61" t="inlineStr">
        <is>
          <t>DAKAM Sarl</t>
        </is>
      </c>
      <c r="E8" s="62" t="inlineStr">
        <is>
          <t>Jacques MALIGIJA</t>
        </is>
      </c>
      <c r="G8" s="58" t="inlineStr"/>
      <c r="H8" s="63" t="inlineStr"/>
      <c r="I8" s="59" t="inlineStr"/>
      <c r="J8" s="61" t="inlineStr"/>
    </row>
    <row r="9" ht="20" customHeight="1">
      <c r="A9" s="57" t="inlineStr">
        <is>
          <t>RAP-H-03</t>
        </is>
      </c>
      <c r="B9" s="29" t="inlineStr">
        <is>
          <t>KAKO Sarl — Likasi</t>
        </is>
      </c>
      <c r="E9" s="30" t="inlineStr">
        <is>
          <t>Raphael KYUNGU</t>
        </is>
      </c>
      <c r="G9" s="58" t="inlineStr"/>
      <c r="H9" s="32" t="inlineStr"/>
      <c r="I9" s="59" t="inlineStr"/>
      <c r="J9" s="29" t="inlineStr"/>
    </row>
    <row r="10" ht="20" customHeight="1">
      <c r="A10" s="60" t="inlineStr">
        <is>
          <t>RAP-H-04</t>
        </is>
      </c>
      <c r="B10" s="61" t="inlineStr">
        <is>
          <t>KAKO Sarl — Kolwezi</t>
        </is>
      </c>
      <c r="E10" s="62" t="inlineStr">
        <is>
          <t>Franck MUTWALE</t>
        </is>
      </c>
      <c r="G10" s="58" t="inlineStr"/>
      <c r="H10" s="63" t="inlineStr"/>
      <c r="I10" s="59" t="inlineStr"/>
      <c r="J10" s="61" t="inlineStr"/>
    </row>
    <row r="11" ht="20" customHeight="1">
      <c r="A11" s="57" t="inlineStr">
        <is>
          <t>RAP-H-05</t>
        </is>
      </c>
      <c r="B11" s="29" t="inlineStr">
        <is>
          <t>Ets HORIZON</t>
        </is>
      </c>
      <c r="E11" s="30" t="inlineStr">
        <is>
          <t>Raphael KYUNGU</t>
        </is>
      </c>
      <c r="G11" s="58" t="inlineStr"/>
      <c r="H11" s="32" t="inlineStr"/>
      <c r="I11" s="59" t="inlineStr"/>
      <c r="J11" s="29" t="inlineStr"/>
    </row>
    <row r="12" ht="20" customHeight="1">
      <c r="A12" s="60" t="inlineStr">
        <is>
          <t>RAP-H-06</t>
        </is>
      </c>
      <c r="B12" s="61" t="inlineStr">
        <is>
          <t>Guest House Relax</t>
        </is>
      </c>
      <c r="E12" s="62" t="inlineStr">
        <is>
          <t>Raphael T</t>
        </is>
      </c>
      <c r="G12" s="58" t="inlineStr"/>
      <c r="H12" s="63" t="inlineStr"/>
      <c r="I12" s="59" t="inlineStr"/>
      <c r="J12" s="61" t="inlineStr"/>
    </row>
    <row r="13" ht="20" customHeight="1">
      <c r="A13" s="57" t="inlineStr">
        <is>
          <t>RAP-H-07</t>
        </is>
      </c>
      <c r="B13" s="29" t="inlineStr">
        <is>
          <t>PLANET Sarl</t>
        </is>
      </c>
      <c r="E13" s="30" t="inlineStr">
        <is>
          <t>Raphael T</t>
        </is>
      </c>
      <c r="G13" s="58" t="inlineStr"/>
      <c r="H13" s="32" t="inlineStr"/>
      <c r="I13" s="59" t="inlineStr"/>
      <c r="J13" s="29" t="inlineStr"/>
    </row>
    <row r="14" ht="20" customHeight="1">
      <c r="A14" s="60" t="inlineStr">
        <is>
          <t>RAP-H-08</t>
        </is>
      </c>
      <c r="B14" s="61" t="inlineStr">
        <is>
          <t>Rapport caisse consolidé Likasi</t>
        </is>
      </c>
      <c r="E14" s="62" t="inlineStr">
        <is>
          <t>Eliane MUSOLO</t>
        </is>
      </c>
      <c r="G14" s="58" t="inlineStr"/>
      <c r="H14" s="63" t="inlineStr"/>
      <c r="I14" s="59" t="inlineStr"/>
      <c r="J14" s="61" t="inlineStr"/>
    </row>
    <row r="15" ht="20" customHeight="1">
      <c r="A15" s="57" t="inlineStr">
        <is>
          <t>RAP-H-09</t>
        </is>
      </c>
      <c r="B15" s="29" t="inlineStr">
        <is>
          <t>Rapport caisse Kolwezi</t>
        </is>
      </c>
      <c r="E15" s="30" t="inlineStr">
        <is>
          <t>Patient KAPEND</t>
        </is>
      </c>
      <c r="G15" s="58" t="inlineStr"/>
      <c r="H15" s="32" t="inlineStr"/>
      <c r="I15" s="59" t="inlineStr"/>
      <c r="J15" s="29" t="inlineStr"/>
    </row>
    <row r="17" ht="20" customHeight="1">
      <c r="A17" s="64" t="inlineStr">
        <is>
          <t>2. Points de contrôle hebdomadaires</t>
        </is>
      </c>
    </row>
    <row r="18" ht="20" customHeight="1">
      <c r="A18" s="65" t="inlineStr">
        <is>
          <t>N°</t>
        </is>
      </c>
      <c r="B18" s="66" t="inlineStr">
        <is>
          <t>Point de contrôle</t>
        </is>
      </c>
      <c r="G18" s="65" t="inlineStr">
        <is>
          <t>Vérifié ?</t>
        </is>
      </c>
      <c r="I18" s="66" t="inlineStr">
        <is>
          <t>Écart / Anomalie détecté(e)</t>
        </is>
      </c>
    </row>
    <row r="19" ht="20" customHeight="1">
      <c r="A19" s="67" t="n">
        <v>1</v>
      </c>
      <c r="B19" s="29" t="inlineStr">
        <is>
          <t>Réconciliation ventes / caisse / stock KAKO Likasi effectuée (DOC-ST-03)</t>
        </is>
      </c>
      <c r="G19" s="68" t="inlineStr"/>
      <c r="I19" s="29" t="inlineStr"/>
    </row>
    <row r="20" ht="20" customHeight="1">
      <c r="A20" s="69" t="n">
        <v>2</v>
      </c>
      <c r="B20" s="70" t="inlineStr">
        <is>
          <t>Réconciliation ventes / caisse / stock KAKO Kolwezi effectuée (DOC-ST-03)</t>
        </is>
      </c>
      <c r="G20" s="68" t="inlineStr"/>
      <c r="I20" s="70" t="inlineStr"/>
    </row>
    <row r="21" ht="20" customHeight="1">
      <c r="A21" s="67" t="n">
        <v>3</v>
      </c>
      <c r="B21" s="29" t="inlineStr">
        <is>
          <t>Inventaire physique stock KAKO Likasi effectué (DOC-ST-02) — vendredi</t>
        </is>
      </c>
      <c r="G21" s="68" t="inlineStr"/>
      <c r="I21" s="29" t="inlineStr"/>
    </row>
    <row r="22" ht="20" customHeight="1">
      <c r="A22" s="69" t="n">
        <v>4</v>
      </c>
      <c r="B22" s="70" t="inlineStr">
        <is>
          <t>Inventaire physique stock KAKO Kolwezi effectué (DOC-ST-02) — vendredi</t>
        </is>
      </c>
      <c r="G22" s="68" t="inlineStr"/>
      <c r="I22" s="70" t="inlineStr"/>
    </row>
    <row r="23" ht="20" customHeight="1">
      <c r="A23" s="67" t="n">
        <v>5</v>
      </c>
      <c r="B23" s="29" t="inlineStr">
        <is>
          <t>PV contrôle caisse Kolwezi signé par Resp. IT (NS-2025-02) — vendredi</t>
        </is>
      </c>
      <c r="G23" s="68" t="inlineStr"/>
      <c r="I23" s="29" t="inlineStr"/>
    </row>
    <row r="24" ht="20" customHeight="1">
      <c r="A24" s="69" t="n">
        <v>6</v>
      </c>
      <c r="B24" s="70" t="inlineStr">
        <is>
          <t>Réconciliation ventes / caisse / stock boissons GHR effectuée (DOC-ST-03)</t>
        </is>
      </c>
      <c r="G24" s="68" t="inlineStr"/>
      <c r="I24" s="70" t="inlineStr"/>
    </row>
    <row r="25" ht="20" customHeight="1">
      <c r="A25" s="67" t="n">
        <v>7</v>
      </c>
      <c r="B25" s="29" t="inlineStr">
        <is>
          <t>Ratio coût cuisine / CA restaurant GHR calculé et dans la cible</t>
        </is>
      </c>
      <c r="G25" s="68" t="inlineStr"/>
      <c r="I25" s="29" t="inlineStr"/>
    </row>
    <row r="26" ht="20" customHeight="1">
      <c r="A26" s="69" t="n">
        <v>8</v>
      </c>
      <c r="B26" s="70" t="inlineStr">
        <is>
          <t>Tableau suivi prestations HORIZON réconcilié avec fiches terrain</t>
        </is>
      </c>
      <c r="G26" s="68" t="inlineStr"/>
      <c r="I26" s="70" t="inlineStr"/>
    </row>
    <row r="27" ht="20" customHeight="1">
      <c r="A27" s="67" t="n">
        <v>9</v>
      </c>
      <c r="B27" s="29" t="inlineStr">
        <is>
          <t>Avances non justifiées de la semaine — toutes apurées ?</t>
        </is>
      </c>
      <c r="G27" s="68" t="inlineStr"/>
      <c r="I27" s="29" t="inlineStr"/>
    </row>
    <row r="28" ht="20" customHeight="1">
      <c r="A28" s="69" t="n">
        <v>10</v>
      </c>
      <c r="B28" s="70" t="inlineStr">
        <is>
          <t>Factures DGI GHR — tous les reçus manuels régularisés ?</t>
        </is>
      </c>
      <c r="G28" s="68" t="inlineStr"/>
      <c r="I28" s="70" t="inlineStr"/>
    </row>
    <row r="29" ht="20" customHeight="1">
      <c r="A29" s="67" t="n">
        <v>11</v>
      </c>
      <c r="B29" s="29" t="inlineStr">
        <is>
          <t>Créances échues non payées &gt; 7 jours — identifiées et relancées ?</t>
        </is>
      </c>
      <c r="G29" s="68" t="inlineStr"/>
      <c r="I29" s="29" t="inlineStr"/>
    </row>
    <row r="30" ht="20" customHeight="1">
      <c r="A30" s="69" t="n">
        <v>12</v>
      </c>
      <c r="B30" s="70" t="inlineStr">
        <is>
          <t>Budget département technique HORIZON — ratio maintenance/CA dans la cible ?</t>
        </is>
      </c>
      <c r="G30" s="68" t="inlineStr"/>
      <c r="I30" s="70" t="inlineStr"/>
    </row>
    <row r="32" ht="20" customHeight="1">
      <c r="A32" s="71" t="inlineStr">
        <is>
          <t>3. Décisions &amp; actions DFI de la semaine</t>
        </is>
      </c>
    </row>
    <row r="33" ht="20" customHeight="1">
      <c r="A33" s="18" t="inlineStr">
        <is>
          <t>N°</t>
        </is>
      </c>
      <c r="B33" s="72" t="inlineStr">
        <is>
          <t>Action / Décision</t>
        </is>
      </c>
      <c r="G33" s="72" t="inlineStr">
        <is>
          <t>Agent concerné</t>
        </is>
      </c>
      <c r="J33" s="18" t="inlineStr">
        <is>
          <t>Statut</t>
        </is>
      </c>
      <c r="L33" s="18" t="inlineStr">
        <is>
          <t>Délai</t>
        </is>
      </c>
    </row>
    <row r="34" ht="22" customHeight="1">
      <c r="A34" s="73" t="n">
        <v>1</v>
      </c>
      <c r="B34" s="29" t="inlineStr"/>
      <c r="G34" s="29" t="inlineStr"/>
      <c r="J34" s="74" t="inlineStr"/>
      <c r="L34" s="32" t="inlineStr"/>
    </row>
    <row r="35" ht="22" customHeight="1">
      <c r="A35" s="75" t="n">
        <v>2</v>
      </c>
      <c r="B35" s="76" t="inlineStr"/>
      <c r="G35" s="76" t="inlineStr"/>
      <c r="J35" s="74" t="inlineStr"/>
      <c r="L35" s="77" t="inlineStr"/>
    </row>
    <row r="36" ht="22" customHeight="1">
      <c r="A36" s="73" t="n">
        <v>3</v>
      </c>
      <c r="B36" s="29" t="inlineStr"/>
      <c r="G36" s="29" t="inlineStr"/>
      <c r="J36" s="74" t="inlineStr"/>
      <c r="L36" s="32" t="inlineStr"/>
    </row>
    <row r="37" ht="22" customHeight="1">
      <c r="A37" s="75" t="n">
        <v>4</v>
      </c>
      <c r="B37" s="76" t="inlineStr"/>
      <c r="G37" s="76" t="inlineStr"/>
      <c r="J37" s="74" t="inlineStr"/>
      <c r="L37" s="77" t="inlineStr"/>
    </row>
    <row r="38" ht="22" customHeight="1">
      <c r="A38" s="73" t="n">
        <v>5</v>
      </c>
      <c r="B38" s="29" t="inlineStr"/>
      <c r="G38" s="29" t="inlineStr"/>
      <c r="J38" s="74" t="inlineStr"/>
      <c r="L38" s="32" t="inlineStr"/>
    </row>
    <row r="39" ht="22" customHeight="1">
      <c r="A39" s="75" t="n">
        <v>6</v>
      </c>
      <c r="B39" s="76" t="inlineStr"/>
      <c r="G39" s="76" t="inlineStr"/>
      <c r="J39" s="74" t="inlineStr"/>
      <c r="L39" s="77" t="inlineStr"/>
    </row>
    <row r="40" ht="22" customHeight="1">
      <c r="A40" s="73" t="n">
        <v>7</v>
      </c>
      <c r="B40" s="29" t="inlineStr"/>
      <c r="G40" s="29" t="inlineStr"/>
      <c r="J40" s="74" t="inlineStr"/>
      <c r="L40" s="32" t="inlineStr"/>
    </row>
    <row r="41" ht="22" customHeight="1">
      <c r="A41" s="75" t="n">
        <v>8</v>
      </c>
      <c r="B41" s="76" t="inlineStr"/>
      <c r="G41" s="76" t="inlineStr"/>
      <c r="J41" s="74" t="inlineStr"/>
      <c r="L41" s="77" t="inlineStr"/>
    </row>
    <row r="42" ht="22" customHeight="1">
      <c r="A42" s="73" t="n">
        <v>9</v>
      </c>
      <c r="B42" s="29" t="inlineStr"/>
      <c r="G42" s="29" t="inlineStr"/>
      <c r="J42" s="74" t="inlineStr"/>
      <c r="L42" s="32" t="inlineStr"/>
    </row>
    <row r="43" ht="22" customHeight="1">
      <c r="A43" s="75" t="n">
        <v>10</v>
      </c>
      <c r="B43" s="76" t="inlineStr"/>
      <c r="G43" s="76" t="inlineStr"/>
      <c r="J43" s="74" t="inlineStr"/>
      <c r="L43" s="77" t="inlineStr"/>
    </row>
  </sheetData>
  <mergeCells count="133">
    <mergeCell ref="B11:D11"/>
    <mergeCell ref="G21:H21"/>
    <mergeCell ref="L33:N33"/>
    <mergeCell ref="G38:I38"/>
    <mergeCell ref="L42:N42"/>
    <mergeCell ref="I22:N22"/>
    <mergeCell ref="H3"/>
    <mergeCell ref="B25:F25"/>
    <mergeCell ref="I28:N28"/>
    <mergeCell ref="G23:H23"/>
    <mergeCell ref="L35:N35"/>
    <mergeCell ref="E8:F8"/>
    <mergeCell ref="B18:F18"/>
    <mergeCell ref="I21:N21"/>
    <mergeCell ref="B27:F27"/>
    <mergeCell ref="B42:F42"/>
    <mergeCell ref="I23:N23"/>
    <mergeCell ref="G18:H18"/>
    <mergeCell ref="B6:D6"/>
    <mergeCell ref="J11:N11"/>
    <mergeCell ref="B34:F34"/>
    <mergeCell ref="B28:F28"/>
    <mergeCell ref="B37:F37"/>
    <mergeCell ref="B30:F30"/>
    <mergeCell ref="G20:H20"/>
    <mergeCell ref="G36:I36"/>
    <mergeCell ref="G42:I42"/>
    <mergeCell ref="B20:F20"/>
    <mergeCell ref="J12:N12"/>
    <mergeCell ref="I26:N26"/>
    <mergeCell ref="K2:N2"/>
    <mergeCell ref="G22:H22"/>
    <mergeCell ref="C3:D3"/>
    <mergeCell ref="E12:F12"/>
    <mergeCell ref="I25:N25"/>
    <mergeCell ref="G37:I37"/>
    <mergeCell ref="B8:D8"/>
    <mergeCell ref="I18:N18"/>
    <mergeCell ref="E14:F14"/>
    <mergeCell ref="J13:N13"/>
    <mergeCell ref="A13"/>
    <mergeCell ref="B10:D10"/>
    <mergeCell ref="B43:F43"/>
    <mergeCell ref="J34:K34"/>
    <mergeCell ref="L41:N41"/>
    <mergeCell ref="J15:N15"/>
    <mergeCell ref="A15"/>
    <mergeCell ref="B9:D9"/>
    <mergeCell ref="L34:N34"/>
    <mergeCell ref="J36:K36"/>
    <mergeCell ref="I20:N20"/>
    <mergeCell ref="I29:N29"/>
    <mergeCell ref="G24:H24"/>
    <mergeCell ref="G41:I41"/>
    <mergeCell ref="L36:N36"/>
    <mergeCell ref="J7:N7"/>
    <mergeCell ref="A7"/>
    <mergeCell ref="B19:F19"/>
    <mergeCell ref="A5:N5"/>
    <mergeCell ref="A32:N32"/>
    <mergeCell ref="G26:H26"/>
    <mergeCell ref="G43:I43"/>
    <mergeCell ref="G25:H25"/>
    <mergeCell ref="L37:N37"/>
    <mergeCell ref="A2:J2"/>
    <mergeCell ref="J6:L6"/>
    <mergeCell ref="B14:D14"/>
    <mergeCell ref="J38:K38"/>
    <mergeCell ref="J14:N14"/>
    <mergeCell ref="B13:D13"/>
    <mergeCell ref="G34:I34"/>
    <mergeCell ref="J40:K40"/>
    <mergeCell ref="B21:F21"/>
    <mergeCell ref="B39:F39"/>
    <mergeCell ref="L40:N40"/>
    <mergeCell ref="E13:F13"/>
    <mergeCell ref="B23:F23"/>
    <mergeCell ref="A3:B3"/>
    <mergeCell ref="J35:K35"/>
    <mergeCell ref="E6:F6"/>
    <mergeCell ref="I19:N19"/>
    <mergeCell ref="E15:F15"/>
    <mergeCell ref="G40:I40"/>
    <mergeCell ref="I30:N30"/>
    <mergeCell ref="E7:F7"/>
    <mergeCell ref="J42:K42"/>
    <mergeCell ref="B36:F36"/>
    <mergeCell ref="B12:D12"/>
    <mergeCell ref="J8:N8"/>
    <mergeCell ref="J39:K39"/>
    <mergeCell ref="A8"/>
    <mergeCell ref="G27:H27"/>
    <mergeCell ref="L39:N39"/>
    <mergeCell ref="J10:N10"/>
    <mergeCell ref="J37:K37"/>
    <mergeCell ref="A10"/>
    <mergeCell ref="B22:F22"/>
    <mergeCell ref="G33:I33"/>
    <mergeCell ref="F3:G3"/>
    <mergeCell ref="L38:N38"/>
    <mergeCell ref="J9:N9"/>
    <mergeCell ref="A9"/>
    <mergeCell ref="I24:N24"/>
    <mergeCell ref="E10:F10"/>
    <mergeCell ref="E3"/>
    <mergeCell ref="G19:H19"/>
    <mergeCell ref="G35:I35"/>
    <mergeCell ref="G28:H28"/>
    <mergeCell ref="B15:D15"/>
    <mergeCell ref="E9:F9"/>
    <mergeCell ref="A11"/>
    <mergeCell ref="I3:J3"/>
    <mergeCell ref="B29:F29"/>
    <mergeCell ref="B38:F38"/>
    <mergeCell ref="G30:H30"/>
    <mergeCell ref="E11:F11"/>
    <mergeCell ref="J41:K41"/>
    <mergeCell ref="B7:D7"/>
    <mergeCell ref="B40:F40"/>
    <mergeCell ref="A17:N17"/>
    <mergeCell ref="G29:H29"/>
    <mergeCell ref="J43:K43"/>
    <mergeCell ref="A12"/>
    <mergeCell ref="B24:F24"/>
    <mergeCell ref="I27:N27"/>
    <mergeCell ref="B33:F33"/>
    <mergeCell ref="G39:I39"/>
    <mergeCell ref="J33:K33"/>
    <mergeCell ref="L43:N43"/>
    <mergeCell ref="A14"/>
    <mergeCell ref="B26:F26"/>
    <mergeCell ref="B41:F41"/>
    <mergeCell ref="B35:F35"/>
  </mergeCells>
  <dataValidations count="2">
    <dataValidation sqref="G7 G8 G9 G10 G11 G12 G13 G14 G15 I7 I8 I9 I10 I11 I12 I13 I14 I15" showDropDown="0" showInputMessage="0" showErrorMessage="0" allowBlank="1" type="list">
      <formula1>"OUI,NON,PARTIEL"</formula1>
    </dataValidation>
    <dataValidation sqref="G19:H19 G20:H20 G21:H21 G22:H22 G23:H23 G24:H24 G25:H25 G26:H26 G27:H27 G28:H28 G29:H29 G30:H30" showDropDown="0" showInputMessage="0" showErrorMessage="0" allowBlank="1" type="list">
      <formula1>"OUI,NON,PARTIEL,N/A"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P31"/>
  <sheetViews>
    <sheetView showGridLines="0" workbookViewId="0">
      <selection activeCell="A1" sqref="A1"/>
    </sheetView>
  </sheetViews>
  <sheetFormatPr baseColWidth="8" defaultRowHeight="15"/>
  <cols>
    <col width="3" customWidth="1" min="1" max="1"/>
    <col width="5" customWidth="1" min="2" max="2"/>
    <col width="16" customWidth="1" min="3" max="3"/>
    <col width="14"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8" customHeight="1"/>
    <row r="2" ht="28" customHeight="1">
      <c r="A2" s="78" t="inlineStr">
        <is>
          <t>KILIMA Holdings — Suivi des Avances Non Justifiées</t>
        </is>
      </c>
      <c r="K2" s="79" t="inlineStr">
        <is>
          <t>Contrôle interne DFI</t>
        </is>
      </c>
    </row>
    <row r="3" ht="18" customHeight="1">
      <c r="A3" s="80" t="inlineStr">
        <is>
          <t>Règle absolue :</t>
        </is>
      </c>
      <c r="C3" s="81" t="inlineStr">
        <is>
          <t>Toute avance non justifiée dans les délais déclenche le blocage de nouvelles avances au bénéficiaire concerné.</t>
        </is>
      </c>
    </row>
    <row r="4" ht="8" customHeight="1"/>
    <row r="5" ht="22" customHeight="1">
      <c r="A5" s="82" t="inlineStr">
        <is>
          <t>N°</t>
        </is>
      </c>
      <c r="B5" s="82" t="inlineStr">
        <is>
          <t>Date avance</t>
        </is>
      </c>
      <c r="C5" s="82" t="inlineStr">
        <is>
          <t>Entité</t>
        </is>
      </c>
      <c r="E5" s="82" t="inlineStr">
        <is>
          <t>Bénéficiaire</t>
        </is>
      </c>
      <c r="G5" s="82" t="inlineStr">
        <is>
          <t>Motif avance</t>
        </is>
      </c>
      <c r="I5" s="82" t="inlineStr">
        <is>
          <t>Montant USD</t>
        </is>
      </c>
      <c r="J5" s="82" t="inlineStr">
        <is>
          <t>Montant CDF</t>
        </is>
      </c>
      <c r="K5" s="82" t="inlineStr">
        <is>
          <t>Délai justification</t>
        </is>
      </c>
      <c r="L5" s="82" t="inlineStr">
        <is>
          <t>Justifié le</t>
        </is>
      </c>
      <c r="M5" s="82" t="inlineStr">
        <is>
          <t>Statut</t>
        </is>
      </c>
      <c r="N5" s="82" t="inlineStr">
        <is>
          <t>Solde retourné USD</t>
        </is>
      </c>
      <c r="O5" s="82" t="inlineStr">
        <is>
          <t>Obs. DFI</t>
        </is>
      </c>
    </row>
    <row r="6" ht="20" customHeight="1">
      <c r="A6" s="83" t="n">
        <v>1</v>
      </c>
      <c r="B6" s="29" t="inlineStr"/>
      <c r="C6" s="29" t="inlineStr"/>
      <c r="E6" s="29" t="inlineStr"/>
      <c r="G6" s="84" t="inlineStr"/>
      <c r="I6" s="29" t="inlineStr"/>
      <c r="J6" s="55" t="inlineStr"/>
      <c r="K6" s="84" t="inlineStr"/>
      <c r="L6" s="29" t="inlineStr"/>
      <c r="M6" s="29" t="inlineStr"/>
      <c r="N6" s="29" t="inlineStr"/>
      <c r="O6" s="29" t="inlineStr"/>
    </row>
    <row r="7" ht="20" customHeight="1">
      <c r="A7" s="85" t="n">
        <v>2</v>
      </c>
      <c r="B7" s="86" t="inlineStr"/>
      <c r="C7" s="86" t="inlineStr"/>
      <c r="E7" s="86" t="inlineStr"/>
      <c r="G7" s="87" t="inlineStr"/>
      <c r="I7" s="86" t="inlineStr"/>
      <c r="J7" s="55" t="inlineStr"/>
      <c r="K7" s="87" t="inlineStr"/>
      <c r="L7" s="86" t="inlineStr"/>
      <c r="M7" s="86" t="inlineStr"/>
      <c r="N7" s="86" t="inlineStr"/>
      <c r="O7" s="86" t="inlineStr"/>
    </row>
    <row r="8" ht="20" customHeight="1">
      <c r="A8" s="83" t="n">
        <v>3</v>
      </c>
      <c r="B8" s="29" t="inlineStr"/>
      <c r="C8" s="29" t="inlineStr"/>
      <c r="E8" s="29" t="inlineStr"/>
      <c r="G8" s="84" t="inlineStr"/>
      <c r="I8" s="29" t="inlineStr"/>
      <c r="J8" s="55" t="inlineStr"/>
      <c r="K8" s="84" t="inlineStr"/>
      <c r="L8" s="29" t="inlineStr"/>
      <c r="M8" s="29" t="inlineStr"/>
      <c r="N8" s="29" t="inlineStr"/>
      <c r="O8" s="29" t="inlineStr"/>
    </row>
    <row r="9" ht="20" customHeight="1">
      <c r="A9" s="85" t="n">
        <v>4</v>
      </c>
      <c r="B9" s="86" t="inlineStr"/>
      <c r="C9" s="86" t="inlineStr"/>
      <c r="E9" s="86" t="inlineStr"/>
      <c r="G9" s="87" t="inlineStr"/>
      <c r="I9" s="86" t="inlineStr"/>
      <c r="J9" s="55" t="inlineStr"/>
      <c r="K9" s="87" t="inlineStr"/>
      <c r="L9" s="86" t="inlineStr"/>
      <c r="M9" s="86" t="inlineStr"/>
      <c r="N9" s="86" t="inlineStr"/>
      <c r="O9" s="86" t="inlineStr"/>
    </row>
    <row r="10" ht="20" customHeight="1">
      <c r="A10" s="83" t="n">
        <v>5</v>
      </c>
      <c r="B10" s="29" t="inlineStr"/>
      <c r="C10" s="29" t="inlineStr"/>
      <c r="E10" s="29" t="inlineStr"/>
      <c r="G10" s="84" t="inlineStr"/>
      <c r="I10" s="29" t="inlineStr"/>
      <c r="J10" s="55" t="inlineStr"/>
      <c r="K10" s="84" t="inlineStr"/>
      <c r="L10" s="29" t="inlineStr"/>
      <c r="M10" s="29" t="inlineStr"/>
      <c r="N10" s="29" t="inlineStr"/>
      <c r="O10" s="29" t="inlineStr"/>
    </row>
    <row r="11" ht="20" customHeight="1">
      <c r="A11" s="85" t="n">
        <v>6</v>
      </c>
      <c r="B11" s="86" t="inlineStr"/>
      <c r="C11" s="86" t="inlineStr"/>
      <c r="E11" s="86" t="inlineStr"/>
      <c r="G11" s="87" t="inlineStr"/>
      <c r="I11" s="86" t="inlineStr"/>
      <c r="J11" s="55" t="inlineStr"/>
      <c r="K11" s="87" t="inlineStr"/>
      <c r="L11" s="86" t="inlineStr"/>
      <c r="M11" s="86" t="inlineStr"/>
      <c r="N11" s="86" t="inlineStr"/>
      <c r="O11" s="86" t="inlineStr"/>
    </row>
    <row r="12" ht="20" customHeight="1">
      <c r="A12" s="83" t="n">
        <v>7</v>
      </c>
      <c r="B12" s="29" t="inlineStr"/>
      <c r="C12" s="29" t="inlineStr"/>
      <c r="E12" s="29" t="inlineStr"/>
      <c r="G12" s="84" t="inlineStr"/>
      <c r="I12" s="29" t="inlineStr"/>
      <c r="J12" s="55" t="inlineStr"/>
      <c r="K12" s="84" t="inlineStr"/>
      <c r="L12" s="29" t="inlineStr"/>
      <c r="M12" s="29" t="inlineStr"/>
      <c r="N12" s="29" t="inlineStr"/>
      <c r="O12" s="29" t="inlineStr"/>
    </row>
    <row r="13" ht="20" customHeight="1">
      <c r="A13" s="85" t="n">
        <v>8</v>
      </c>
      <c r="B13" s="86" t="inlineStr"/>
      <c r="C13" s="86" t="inlineStr"/>
      <c r="E13" s="86" t="inlineStr"/>
      <c r="G13" s="87" t="inlineStr"/>
      <c r="I13" s="86" t="inlineStr"/>
      <c r="J13" s="55" t="inlineStr"/>
      <c r="K13" s="87" t="inlineStr"/>
      <c r="L13" s="86" t="inlineStr"/>
      <c r="M13" s="86" t="inlineStr"/>
      <c r="N13" s="86" t="inlineStr"/>
      <c r="O13" s="86" t="inlineStr"/>
    </row>
    <row r="14" ht="20" customHeight="1">
      <c r="A14" s="83" t="n">
        <v>9</v>
      </c>
      <c r="B14" s="29" t="inlineStr"/>
      <c r="C14" s="29" t="inlineStr"/>
      <c r="E14" s="29" t="inlineStr"/>
      <c r="G14" s="84" t="inlineStr"/>
      <c r="I14" s="29" t="inlineStr"/>
      <c r="J14" s="55" t="inlineStr"/>
      <c r="K14" s="84" t="inlineStr"/>
      <c r="L14" s="29" t="inlineStr"/>
      <c r="M14" s="29" t="inlineStr"/>
      <c r="N14" s="29" t="inlineStr"/>
      <c r="O14" s="29" t="inlineStr"/>
    </row>
    <row r="15" ht="20" customHeight="1">
      <c r="A15" s="85" t="n">
        <v>10</v>
      </c>
      <c r="B15" s="86" t="inlineStr"/>
      <c r="C15" s="86" t="inlineStr"/>
      <c r="E15" s="86" t="inlineStr"/>
      <c r="G15" s="87" t="inlineStr"/>
      <c r="I15" s="86" t="inlineStr"/>
      <c r="J15" s="55" t="inlineStr"/>
      <c r="K15" s="87" t="inlineStr"/>
      <c r="L15" s="86" t="inlineStr"/>
      <c r="M15" s="86" t="inlineStr"/>
      <c r="N15" s="86" t="inlineStr"/>
      <c r="O15" s="86" t="inlineStr"/>
    </row>
    <row r="16" ht="20" customHeight="1">
      <c r="A16" s="83" t="n">
        <v>11</v>
      </c>
      <c r="B16" s="29" t="inlineStr"/>
      <c r="C16" s="29" t="inlineStr"/>
      <c r="E16" s="29" t="inlineStr"/>
      <c r="G16" s="84" t="inlineStr"/>
      <c r="I16" s="29" t="inlineStr"/>
      <c r="J16" s="55" t="inlineStr"/>
      <c r="K16" s="84" t="inlineStr"/>
      <c r="L16" s="29" t="inlineStr"/>
      <c r="M16" s="29" t="inlineStr"/>
      <c r="N16" s="29" t="inlineStr"/>
      <c r="O16" s="29" t="inlineStr"/>
    </row>
    <row r="17" ht="20" customHeight="1">
      <c r="A17" s="85" t="n">
        <v>12</v>
      </c>
      <c r="B17" s="86" t="inlineStr"/>
      <c r="C17" s="86" t="inlineStr"/>
      <c r="E17" s="86" t="inlineStr"/>
      <c r="G17" s="87" t="inlineStr"/>
      <c r="I17" s="86" t="inlineStr"/>
      <c r="J17" s="55" t="inlineStr"/>
      <c r="K17" s="87" t="inlineStr"/>
      <c r="L17" s="86" t="inlineStr"/>
      <c r="M17" s="86" t="inlineStr"/>
      <c r="N17" s="86" t="inlineStr"/>
      <c r="O17" s="86" t="inlineStr"/>
    </row>
    <row r="18" ht="20" customHeight="1">
      <c r="A18" s="83" t="n">
        <v>13</v>
      </c>
      <c r="B18" s="29" t="inlineStr"/>
      <c r="C18" s="29" t="inlineStr"/>
      <c r="E18" s="29" t="inlineStr"/>
      <c r="G18" s="84" t="inlineStr"/>
      <c r="I18" s="29" t="inlineStr"/>
      <c r="J18" s="55" t="inlineStr"/>
      <c r="K18" s="84" t="inlineStr"/>
      <c r="L18" s="29" t="inlineStr"/>
      <c r="M18" s="29" t="inlineStr"/>
      <c r="N18" s="29" t="inlineStr"/>
      <c r="O18" s="29" t="inlineStr"/>
    </row>
    <row r="19" ht="20" customHeight="1">
      <c r="A19" s="85" t="n">
        <v>14</v>
      </c>
      <c r="B19" s="86" t="inlineStr"/>
      <c r="C19" s="86" t="inlineStr"/>
      <c r="E19" s="86" t="inlineStr"/>
      <c r="G19" s="87" t="inlineStr"/>
      <c r="I19" s="86" t="inlineStr"/>
      <c r="J19" s="55" t="inlineStr"/>
      <c r="K19" s="87" t="inlineStr"/>
      <c r="L19" s="86" t="inlineStr"/>
      <c r="M19" s="86" t="inlineStr"/>
      <c r="N19" s="86" t="inlineStr"/>
      <c r="O19" s="86" t="inlineStr"/>
    </row>
    <row r="20" ht="20" customHeight="1">
      <c r="A20" s="83" t="n">
        <v>15</v>
      </c>
      <c r="B20" s="29" t="inlineStr"/>
      <c r="C20" s="29" t="inlineStr"/>
      <c r="E20" s="29" t="inlineStr"/>
      <c r="G20" s="84" t="inlineStr"/>
      <c r="I20" s="29" t="inlineStr"/>
      <c r="J20" s="55" t="inlineStr"/>
      <c r="K20" s="84" t="inlineStr"/>
      <c r="L20" s="29" t="inlineStr"/>
      <c r="M20" s="29" t="inlineStr"/>
      <c r="N20" s="29" t="inlineStr"/>
      <c r="O20" s="29" t="inlineStr"/>
    </row>
    <row r="21" ht="20" customHeight="1">
      <c r="A21" s="85" t="n">
        <v>16</v>
      </c>
      <c r="B21" s="86" t="inlineStr"/>
      <c r="C21" s="86" t="inlineStr"/>
      <c r="E21" s="86" t="inlineStr"/>
      <c r="G21" s="87" t="inlineStr"/>
      <c r="I21" s="86" t="inlineStr"/>
      <c r="J21" s="55" t="inlineStr"/>
      <c r="K21" s="87" t="inlineStr"/>
      <c r="L21" s="86" t="inlineStr"/>
      <c r="M21" s="86" t="inlineStr"/>
      <c r="N21" s="86" t="inlineStr"/>
      <c r="O21" s="86" t="inlineStr"/>
    </row>
    <row r="22" ht="20" customHeight="1">
      <c r="A22" s="83" t="n">
        <v>17</v>
      </c>
      <c r="B22" s="29" t="inlineStr"/>
      <c r="C22" s="29" t="inlineStr"/>
      <c r="E22" s="29" t="inlineStr"/>
      <c r="G22" s="84" t="inlineStr"/>
      <c r="I22" s="29" t="inlineStr"/>
      <c r="J22" s="55" t="inlineStr"/>
      <c r="K22" s="84" t="inlineStr"/>
      <c r="L22" s="29" t="inlineStr"/>
      <c r="M22" s="29" t="inlineStr"/>
      <c r="N22" s="29" t="inlineStr"/>
      <c r="O22" s="29" t="inlineStr"/>
    </row>
    <row r="23" ht="20" customHeight="1">
      <c r="A23" s="85" t="n">
        <v>18</v>
      </c>
      <c r="B23" s="86" t="inlineStr"/>
      <c r="C23" s="86" t="inlineStr"/>
      <c r="E23" s="86" t="inlineStr"/>
      <c r="G23" s="87" t="inlineStr"/>
      <c r="I23" s="86" t="inlineStr"/>
      <c r="J23" s="55" t="inlineStr"/>
      <c r="K23" s="87" t="inlineStr"/>
      <c r="L23" s="86" t="inlineStr"/>
      <c r="M23" s="86" t="inlineStr"/>
      <c r="N23" s="86" t="inlineStr"/>
      <c r="O23" s="86" t="inlineStr"/>
    </row>
    <row r="24" ht="20" customHeight="1">
      <c r="A24" s="83" t="n">
        <v>19</v>
      </c>
      <c r="B24" s="29" t="inlineStr"/>
      <c r="C24" s="29" t="inlineStr"/>
      <c r="E24" s="29" t="inlineStr"/>
      <c r="G24" s="84" t="inlineStr"/>
      <c r="I24" s="29" t="inlineStr"/>
      <c r="J24" s="55" t="inlineStr"/>
      <c r="K24" s="84" t="inlineStr"/>
      <c r="L24" s="29" t="inlineStr"/>
      <c r="M24" s="29" t="inlineStr"/>
      <c r="N24" s="29" t="inlineStr"/>
      <c r="O24" s="29" t="inlineStr"/>
    </row>
    <row r="25" ht="20" customHeight="1">
      <c r="A25" s="85" t="n">
        <v>20</v>
      </c>
      <c r="B25" s="86" t="inlineStr"/>
      <c r="C25" s="86" t="inlineStr"/>
      <c r="E25" s="86" t="inlineStr"/>
      <c r="G25" s="87" t="inlineStr"/>
      <c r="I25" s="86" t="inlineStr"/>
      <c r="J25" s="55" t="inlineStr"/>
      <c r="K25" s="87" t="inlineStr"/>
      <c r="L25" s="86" t="inlineStr"/>
      <c r="M25" s="86" t="inlineStr"/>
      <c r="N25" s="86" t="inlineStr"/>
      <c r="O25" s="86" t="inlineStr"/>
    </row>
    <row r="26" ht="20" customHeight="1">
      <c r="A26" s="83" t="n">
        <v>21</v>
      </c>
      <c r="B26" s="29" t="inlineStr"/>
      <c r="C26" s="29" t="inlineStr"/>
      <c r="E26" s="29" t="inlineStr"/>
      <c r="G26" s="84" t="inlineStr"/>
      <c r="I26" s="29" t="inlineStr"/>
      <c r="J26" s="55" t="inlineStr"/>
      <c r="K26" s="84" t="inlineStr"/>
      <c r="L26" s="29" t="inlineStr"/>
      <c r="M26" s="29" t="inlineStr"/>
      <c r="N26" s="29" t="inlineStr"/>
      <c r="O26" s="29" t="inlineStr"/>
    </row>
    <row r="27" ht="20" customHeight="1">
      <c r="A27" s="85" t="n">
        <v>22</v>
      </c>
      <c r="B27" s="86" t="inlineStr"/>
      <c r="C27" s="86" t="inlineStr"/>
      <c r="E27" s="86" t="inlineStr"/>
      <c r="G27" s="87" t="inlineStr"/>
      <c r="I27" s="86" t="inlineStr"/>
      <c r="J27" s="55" t="inlineStr"/>
      <c r="K27" s="87" t="inlineStr"/>
      <c r="L27" s="86" t="inlineStr"/>
      <c r="M27" s="86" t="inlineStr"/>
      <c r="N27" s="86" t="inlineStr"/>
      <c r="O27" s="86" t="inlineStr"/>
    </row>
    <row r="28" ht="20" customHeight="1">
      <c r="A28" s="83" t="n">
        <v>23</v>
      </c>
      <c r="B28" s="29" t="inlineStr"/>
      <c r="C28" s="29" t="inlineStr"/>
      <c r="E28" s="29" t="inlineStr"/>
      <c r="G28" s="84" t="inlineStr"/>
      <c r="I28" s="29" t="inlineStr"/>
      <c r="J28" s="55" t="inlineStr"/>
      <c r="K28" s="84" t="inlineStr"/>
      <c r="L28" s="29" t="inlineStr"/>
      <c r="M28" s="29" t="inlineStr"/>
      <c r="N28" s="29" t="inlineStr"/>
      <c r="O28" s="29" t="inlineStr"/>
    </row>
    <row r="29" ht="20" customHeight="1">
      <c r="A29" s="85" t="n">
        <v>24</v>
      </c>
      <c r="B29" s="86" t="inlineStr"/>
      <c r="C29" s="86" t="inlineStr"/>
      <c r="E29" s="86" t="inlineStr"/>
      <c r="G29" s="87" t="inlineStr"/>
      <c r="I29" s="86" t="inlineStr"/>
      <c r="J29" s="55" t="inlineStr"/>
      <c r="K29" s="87" t="inlineStr"/>
      <c r="L29" s="86" t="inlineStr"/>
      <c r="M29" s="86" t="inlineStr"/>
      <c r="N29" s="86" t="inlineStr"/>
      <c r="O29" s="86" t="inlineStr"/>
    </row>
    <row r="30" ht="20" customHeight="1">
      <c r="A30" s="83" t="n">
        <v>25</v>
      </c>
      <c r="B30" s="29" t="inlineStr"/>
      <c r="C30" s="29" t="inlineStr"/>
      <c r="E30" s="29" t="inlineStr"/>
      <c r="G30" s="84" t="inlineStr"/>
      <c r="I30" s="29" t="inlineStr"/>
      <c r="J30" s="55" t="inlineStr"/>
      <c r="K30" s="84" t="inlineStr"/>
      <c r="L30" s="29" t="inlineStr"/>
      <c r="M30" s="29" t="inlineStr"/>
      <c r="N30" s="29" t="inlineStr"/>
      <c r="O30" s="29" t="inlineStr"/>
    </row>
    <row r="31" ht="22" customHeight="1">
      <c r="A31" s="88" t="inlineStr">
        <is>
          <t>TOTAL AVANCES EN COURS (USD)</t>
        </is>
      </c>
      <c r="F31" s="89">
        <f>SUMIF(J6:J30,"EN COURS",F6:F30)+SUMIF(J6:J30,"RETARD",F6:F30)</f>
        <v/>
      </c>
      <c r="G31" s="90" t="inlineStr">
        <is>
          <t>USD</t>
        </is>
      </c>
      <c r="H31" s="91" t="inlineStr">
        <is>
          <t>RETARDS :</t>
        </is>
      </c>
      <c r="J31" s="92">
        <f>COUNTIF(J6:J30,"RETARD")</f>
        <v/>
      </c>
      <c r="K31" s="91" t="inlineStr">
        <is>
          <t>BLOQUÉES :</t>
        </is>
      </c>
      <c r="M31" s="92">
        <f>COUNTIF(J6:J30,"BLOQUEE")</f>
        <v/>
      </c>
    </row>
  </sheetData>
  <mergeCells count="112">
    <mergeCell ref="O7:P7"/>
    <mergeCell ref="G21:H21"/>
    <mergeCell ref="C6:D6"/>
    <mergeCell ref="C15:D15"/>
    <mergeCell ref="O6:P6"/>
    <mergeCell ref="O15:P15"/>
    <mergeCell ref="E23:F23"/>
    <mergeCell ref="G23:H23"/>
    <mergeCell ref="E8:F8"/>
    <mergeCell ref="O26:P26"/>
    <mergeCell ref="G18:H18"/>
    <mergeCell ref="O16:P16"/>
    <mergeCell ref="O25:P25"/>
    <mergeCell ref="C27:D27"/>
    <mergeCell ref="E27:F27"/>
    <mergeCell ref="O27:P27"/>
    <mergeCell ref="C17:D17"/>
    <mergeCell ref="O8:P8"/>
    <mergeCell ref="O17:P17"/>
    <mergeCell ref="G20:H20"/>
    <mergeCell ref="O11:P11"/>
    <mergeCell ref="C19:D19"/>
    <mergeCell ref="C28:D28"/>
    <mergeCell ref="E22:F22"/>
    <mergeCell ref="K2:N2"/>
    <mergeCell ref="G22:H22"/>
    <mergeCell ref="E12:F12"/>
    <mergeCell ref="G12:H12"/>
    <mergeCell ref="C30:D30"/>
    <mergeCell ref="C5:D5"/>
    <mergeCell ref="E5:F5"/>
    <mergeCell ref="C14:D14"/>
    <mergeCell ref="E14:F14"/>
    <mergeCell ref="O29:P29"/>
    <mergeCell ref="G7:H7"/>
    <mergeCell ref="O21:P21"/>
    <mergeCell ref="G24:H24"/>
    <mergeCell ref="E26:F26"/>
    <mergeCell ref="G26:H26"/>
    <mergeCell ref="C8:D8"/>
    <mergeCell ref="E16:F16"/>
    <mergeCell ref="G16:H16"/>
    <mergeCell ref="E25:F25"/>
    <mergeCell ref="G25:H25"/>
    <mergeCell ref="C18:D18"/>
    <mergeCell ref="A2:J2"/>
    <mergeCell ref="G9:H9"/>
    <mergeCell ref="E18:F18"/>
    <mergeCell ref="A31:E31"/>
    <mergeCell ref="O19:P19"/>
    <mergeCell ref="G11:H11"/>
    <mergeCell ref="O28:P28"/>
    <mergeCell ref="O9:P9"/>
    <mergeCell ref="H31:I31"/>
    <mergeCell ref="C20:D20"/>
    <mergeCell ref="O30:P30"/>
    <mergeCell ref="E20:F20"/>
    <mergeCell ref="C29:D29"/>
    <mergeCell ref="E29:F29"/>
    <mergeCell ref="O5:P5"/>
    <mergeCell ref="O20:P20"/>
    <mergeCell ref="E13:F13"/>
    <mergeCell ref="C22:D22"/>
    <mergeCell ref="K31:L31"/>
    <mergeCell ref="G13:H13"/>
    <mergeCell ref="M31:N31"/>
    <mergeCell ref="A3:B3"/>
    <mergeCell ref="O22:P22"/>
    <mergeCell ref="C12:D12"/>
    <mergeCell ref="E6:F6"/>
    <mergeCell ref="C21:D21"/>
    <mergeCell ref="E15:F15"/>
    <mergeCell ref="G15:H15"/>
    <mergeCell ref="C23:D23"/>
    <mergeCell ref="C7:D7"/>
    <mergeCell ref="E7:F7"/>
    <mergeCell ref="O23:P23"/>
    <mergeCell ref="C24:D24"/>
    <mergeCell ref="E24:F24"/>
    <mergeCell ref="O10:P10"/>
    <mergeCell ref="O24:P24"/>
    <mergeCell ref="G27:H27"/>
    <mergeCell ref="O18:P18"/>
    <mergeCell ref="G8:H8"/>
    <mergeCell ref="E17:F17"/>
    <mergeCell ref="C26:D26"/>
    <mergeCell ref="G17:H17"/>
    <mergeCell ref="C10:D10"/>
    <mergeCell ref="C16:D16"/>
    <mergeCell ref="E10:F10"/>
    <mergeCell ref="C25:D25"/>
    <mergeCell ref="G10:H10"/>
    <mergeCell ref="E19:F19"/>
    <mergeCell ref="G19:H19"/>
    <mergeCell ref="E28:F28"/>
    <mergeCell ref="G28:H28"/>
    <mergeCell ref="G6:H6"/>
    <mergeCell ref="C9:D9"/>
    <mergeCell ref="E9:F9"/>
    <mergeCell ref="E30:F30"/>
    <mergeCell ref="G30:H30"/>
    <mergeCell ref="C11:D11"/>
    <mergeCell ref="E11:F11"/>
    <mergeCell ref="G5:H5"/>
    <mergeCell ref="G14:H14"/>
    <mergeCell ref="C3:N3"/>
    <mergeCell ref="O12:P12"/>
    <mergeCell ref="G29:H29"/>
    <mergeCell ref="O13:P13"/>
    <mergeCell ref="O14:P14"/>
    <mergeCell ref="C13:D13"/>
    <mergeCell ref="E21:F21"/>
  </mergeCells>
  <dataValidations count="1">
    <dataValidation sqref="J6 J7 J8 J9 J10 J11 J12 J13 J14 J15 J16 J17 J18 J19 J20 J21 J22 J23 J24 J25 J26 J27 J28 J29 J30" showDropDown="0" showInputMessage="0" showErrorMessage="0" allowBlank="1" type="list">
      <formula1>"EN COURS,JUSTIFIEE,RETARD,BLOQUEE"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P45"/>
  <sheetViews>
    <sheetView showGridLines="0" workbookViewId="0">
      <selection activeCell="A1" sqref="A1"/>
    </sheetView>
  </sheetViews>
  <sheetFormatPr baseColWidth="8" defaultRowHeight="15"/>
  <cols>
    <col width="3" customWidth="1" min="1" max="1"/>
    <col width="5" customWidth="1" min="2" max="2"/>
    <col width="10" customWidth="1" min="3" max="3"/>
    <col width="18" customWidth="1" min="4" max="4"/>
    <col width="14" customWidth="1" min="5" max="5"/>
    <col width="2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8" customHeight="1"/>
    <row r="2" ht="28" customHeight="1">
      <c r="A2" s="50" t="inlineStr">
        <is>
          <t>KILIMA Holdings — Journal des Actions &amp; Relances DFI</t>
        </is>
      </c>
      <c r="K2" s="93" t="inlineStr">
        <is>
          <t>Traçabilité des interventions</t>
        </is>
      </c>
    </row>
    <row r="3" ht="18" customHeight="1">
      <c r="A3" s="94" t="inlineStr">
        <is>
          <t>Enregistrez ici chaque relance, décision ou action que vous prenez. C'est votre trace en cas de contestation.</t>
        </is>
      </c>
    </row>
    <row r="4" ht="8" customHeight="1"/>
    <row r="5" ht="22" customHeight="1">
      <c r="A5" s="18" t="inlineStr">
        <is>
          <t>N°</t>
        </is>
      </c>
      <c r="B5" s="18" t="inlineStr">
        <is>
          <t>Date</t>
        </is>
      </c>
      <c r="C5" s="18" t="inlineStr">
        <is>
          <t>Heure</t>
        </is>
      </c>
      <c r="D5" s="18" t="inlineStr">
        <is>
          <t>Entité</t>
        </is>
      </c>
      <c r="F5" s="18" t="inlineStr">
        <is>
          <t>Agent concerné</t>
        </is>
      </c>
      <c r="H5" s="18" t="inlineStr">
        <is>
          <t>Problème / Motif de l'action</t>
        </is>
      </c>
      <c r="J5" s="18" t="inlineStr">
        <is>
          <t>Type d'action</t>
        </is>
      </c>
      <c r="L5" s="18" t="inlineStr">
        <is>
          <t>Action prise par DFI</t>
        </is>
      </c>
      <c r="M5" s="18" t="inlineStr">
        <is>
          <t>Réponse reçue</t>
        </is>
      </c>
      <c r="N5" s="18" t="inlineStr">
        <is>
          <t>Délai résolution</t>
        </is>
      </c>
      <c r="O5" s="18" t="inlineStr">
        <is>
          <t>Statut</t>
        </is>
      </c>
      <c r="P5" s="18" t="inlineStr">
        <is>
          <t>Résolu le</t>
        </is>
      </c>
    </row>
    <row r="6" ht="22" customHeight="1">
      <c r="A6" s="73" t="n">
        <v>1</v>
      </c>
      <c r="B6" s="29" t="inlineStr"/>
      <c r="C6" s="29" t="inlineStr"/>
      <c r="D6" s="29" t="inlineStr"/>
      <c r="F6" s="29" t="inlineStr"/>
      <c r="H6" s="29" t="inlineStr"/>
      <c r="J6" s="55" t="inlineStr"/>
      <c r="L6" s="29" t="inlineStr"/>
      <c r="M6" s="29" t="inlineStr"/>
      <c r="N6" s="29" t="inlineStr"/>
      <c r="O6" s="55" t="inlineStr"/>
      <c r="P6" s="29" t="inlineStr"/>
    </row>
    <row r="7" ht="22" customHeight="1">
      <c r="A7" s="75" t="n">
        <v>2</v>
      </c>
      <c r="B7" s="76" t="inlineStr"/>
      <c r="C7" s="76" t="inlineStr"/>
      <c r="D7" s="76" t="inlineStr"/>
      <c r="F7" s="76" t="inlineStr"/>
      <c r="H7" s="76" t="inlineStr"/>
      <c r="J7" s="55" t="inlineStr"/>
      <c r="L7" s="76" t="inlineStr"/>
      <c r="M7" s="76" t="inlineStr"/>
      <c r="N7" s="76" t="inlineStr"/>
      <c r="O7" s="55" t="inlineStr"/>
      <c r="P7" s="76" t="inlineStr"/>
    </row>
    <row r="8" ht="22" customHeight="1">
      <c r="A8" s="73" t="n">
        <v>3</v>
      </c>
      <c r="B8" s="29" t="inlineStr"/>
      <c r="C8" s="29" t="inlineStr"/>
      <c r="D8" s="29" t="inlineStr"/>
      <c r="F8" s="29" t="inlineStr"/>
      <c r="H8" s="29" t="inlineStr"/>
      <c r="J8" s="55" t="inlineStr"/>
      <c r="L8" s="29" t="inlineStr"/>
      <c r="M8" s="29" t="inlineStr"/>
      <c r="N8" s="29" t="inlineStr"/>
      <c r="O8" s="55" t="inlineStr"/>
      <c r="P8" s="29" t="inlineStr"/>
    </row>
    <row r="9" ht="22" customHeight="1">
      <c r="A9" s="75" t="n">
        <v>4</v>
      </c>
      <c r="B9" s="76" t="inlineStr"/>
      <c r="C9" s="76" t="inlineStr"/>
      <c r="D9" s="76" t="inlineStr"/>
      <c r="F9" s="76" t="inlineStr"/>
      <c r="H9" s="76" t="inlineStr"/>
      <c r="J9" s="55" t="inlineStr"/>
      <c r="L9" s="76" t="inlineStr"/>
      <c r="M9" s="76" t="inlineStr"/>
      <c r="N9" s="76" t="inlineStr"/>
      <c r="O9" s="55" t="inlineStr"/>
      <c r="P9" s="76" t="inlineStr"/>
    </row>
    <row r="10" ht="22" customHeight="1">
      <c r="A10" s="73" t="n">
        <v>5</v>
      </c>
      <c r="B10" s="29" t="inlineStr"/>
      <c r="C10" s="29" t="inlineStr"/>
      <c r="D10" s="29" t="inlineStr"/>
      <c r="F10" s="29" t="inlineStr"/>
      <c r="H10" s="29" t="inlineStr"/>
      <c r="J10" s="55" t="inlineStr"/>
      <c r="L10" s="29" t="inlineStr"/>
      <c r="M10" s="29" t="inlineStr"/>
      <c r="N10" s="29" t="inlineStr"/>
      <c r="O10" s="55" t="inlineStr"/>
      <c r="P10" s="29" t="inlineStr"/>
    </row>
    <row r="11" ht="22" customHeight="1">
      <c r="A11" s="75" t="n">
        <v>6</v>
      </c>
      <c r="B11" s="76" t="inlineStr"/>
      <c r="C11" s="76" t="inlineStr"/>
      <c r="D11" s="76" t="inlineStr"/>
      <c r="F11" s="76" t="inlineStr"/>
      <c r="H11" s="76" t="inlineStr"/>
      <c r="J11" s="55" t="inlineStr"/>
      <c r="L11" s="76" t="inlineStr"/>
      <c r="M11" s="76" t="inlineStr"/>
      <c r="N11" s="76" t="inlineStr"/>
      <c r="O11" s="55" t="inlineStr"/>
      <c r="P11" s="76" t="inlineStr"/>
    </row>
    <row r="12" ht="22" customHeight="1">
      <c r="A12" s="73" t="n">
        <v>7</v>
      </c>
      <c r="B12" s="29" t="inlineStr"/>
      <c r="C12" s="29" t="inlineStr"/>
      <c r="D12" s="29" t="inlineStr"/>
      <c r="F12" s="29" t="inlineStr"/>
      <c r="H12" s="29" t="inlineStr"/>
      <c r="J12" s="55" t="inlineStr"/>
      <c r="L12" s="29" t="inlineStr"/>
      <c r="M12" s="29" t="inlineStr"/>
      <c r="N12" s="29" t="inlineStr"/>
      <c r="O12" s="55" t="inlineStr"/>
      <c r="P12" s="29" t="inlineStr"/>
    </row>
    <row r="13" ht="22" customHeight="1">
      <c r="A13" s="75" t="n">
        <v>8</v>
      </c>
      <c r="B13" s="76" t="inlineStr"/>
      <c r="C13" s="76" t="inlineStr"/>
      <c r="D13" s="76" t="inlineStr"/>
      <c r="F13" s="76" t="inlineStr"/>
      <c r="H13" s="76" t="inlineStr"/>
      <c r="J13" s="55" t="inlineStr"/>
      <c r="L13" s="76" t="inlineStr"/>
      <c r="M13" s="76" t="inlineStr"/>
      <c r="N13" s="76" t="inlineStr"/>
      <c r="O13" s="55" t="inlineStr"/>
      <c r="P13" s="76" t="inlineStr"/>
    </row>
    <row r="14" ht="22" customHeight="1">
      <c r="A14" s="73" t="n">
        <v>9</v>
      </c>
      <c r="B14" s="29" t="inlineStr"/>
      <c r="C14" s="29" t="inlineStr"/>
      <c r="D14" s="29" t="inlineStr"/>
      <c r="F14" s="29" t="inlineStr"/>
      <c r="H14" s="29" t="inlineStr"/>
      <c r="J14" s="55" t="inlineStr"/>
      <c r="L14" s="29" t="inlineStr"/>
      <c r="M14" s="29" t="inlineStr"/>
      <c r="N14" s="29" t="inlineStr"/>
      <c r="O14" s="55" t="inlineStr"/>
      <c r="P14" s="29" t="inlineStr"/>
    </row>
    <row r="15" ht="22" customHeight="1">
      <c r="A15" s="75" t="n">
        <v>10</v>
      </c>
      <c r="B15" s="76" t="inlineStr"/>
      <c r="C15" s="76" t="inlineStr"/>
      <c r="D15" s="76" t="inlineStr"/>
      <c r="F15" s="76" t="inlineStr"/>
      <c r="H15" s="76" t="inlineStr"/>
      <c r="J15" s="55" t="inlineStr"/>
      <c r="L15" s="76" t="inlineStr"/>
      <c r="M15" s="76" t="inlineStr"/>
      <c r="N15" s="76" t="inlineStr"/>
      <c r="O15" s="55" t="inlineStr"/>
      <c r="P15" s="76" t="inlineStr"/>
    </row>
    <row r="16" ht="22" customHeight="1">
      <c r="A16" s="73" t="n">
        <v>11</v>
      </c>
      <c r="B16" s="29" t="inlineStr"/>
      <c r="C16" s="29" t="inlineStr"/>
      <c r="D16" s="29" t="inlineStr"/>
      <c r="F16" s="29" t="inlineStr"/>
      <c r="H16" s="29" t="inlineStr"/>
      <c r="J16" s="55" t="inlineStr"/>
      <c r="L16" s="29" t="inlineStr"/>
      <c r="M16" s="29" t="inlineStr"/>
      <c r="N16" s="29" t="inlineStr"/>
      <c r="O16" s="55" t="inlineStr"/>
      <c r="P16" s="29" t="inlineStr"/>
    </row>
    <row r="17" ht="22" customHeight="1">
      <c r="A17" s="75" t="n">
        <v>12</v>
      </c>
      <c r="B17" s="76" t="inlineStr"/>
      <c r="C17" s="76" t="inlineStr"/>
      <c r="D17" s="76" t="inlineStr"/>
      <c r="F17" s="76" t="inlineStr"/>
      <c r="H17" s="76" t="inlineStr"/>
      <c r="J17" s="55" t="inlineStr"/>
      <c r="L17" s="76" t="inlineStr"/>
      <c r="M17" s="76" t="inlineStr"/>
      <c r="N17" s="76" t="inlineStr"/>
      <c r="O17" s="55" t="inlineStr"/>
      <c r="P17" s="76" t="inlineStr"/>
    </row>
    <row r="18" ht="22" customHeight="1">
      <c r="A18" s="73" t="n">
        <v>13</v>
      </c>
      <c r="B18" s="29" t="inlineStr"/>
      <c r="C18" s="29" t="inlineStr"/>
      <c r="D18" s="29" t="inlineStr"/>
      <c r="F18" s="29" t="inlineStr"/>
      <c r="H18" s="29" t="inlineStr"/>
      <c r="J18" s="55" t="inlineStr"/>
      <c r="L18" s="29" t="inlineStr"/>
      <c r="M18" s="29" t="inlineStr"/>
      <c r="N18" s="29" t="inlineStr"/>
      <c r="O18" s="55" t="inlineStr"/>
      <c r="P18" s="29" t="inlineStr"/>
    </row>
    <row r="19" ht="22" customHeight="1">
      <c r="A19" s="75" t="n">
        <v>14</v>
      </c>
      <c r="B19" s="76" t="inlineStr"/>
      <c r="C19" s="76" t="inlineStr"/>
      <c r="D19" s="76" t="inlineStr"/>
      <c r="F19" s="76" t="inlineStr"/>
      <c r="H19" s="76" t="inlineStr"/>
      <c r="J19" s="55" t="inlineStr"/>
      <c r="L19" s="76" t="inlineStr"/>
      <c r="M19" s="76" t="inlineStr"/>
      <c r="N19" s="76" t="inlineStr"/>
      <c r="O19" s="55" t="inlineStr"/>
      <c r="P19" s="76" t="inlineStr"/>
    </row>
    <row r="20" ht="22" customHeight="1">
      <c r="A20" s="73" t="n">
        <v>15</v>
      </c>
      <c r="B20" s="29" t="inlineStr"/>
      <c r="C20" s="29" t="inlineStr"/>
      <c r="D20" s="29" t="inlineStr"/>
      <c r="F20" s="29" t="inlineStr"/>
      <c r="H20" s="29" t="inlineStr"/>
      <c r="J20" s="55" t="inlineStr"/>
      <c r="L20" s="29" t="inlineStr"/>
      <c r="M20" s="29" t="inlineStr"/>
      <c r="N20" s="29" t="inlineStr"/>
      <c r="O20" s="55" t="inlineStr"/>
      <c r="P20" s="29" t="inlineStr"/>
    </row>
    <row r="21" ht="22" customHeight="1">
      <c r="A21" s="75" t="n">
        <v>16</v>
      </c>
      <c r="B21" s="76" t="inlineStr"/>
      <c r="C21" s="76" t="inlineStr"/>
      <c r="D21" s="76" t="inlineStr"/>
      <c r="F21" s="76" t="inlineStr"/>
      <c r="H21" s="76" t="inlineStr"/>
      <c r="J21" s="55" t="inlineStr"/>
      <c r="L21" s="76" t="inlineStr"/>
      <c r="M21" s="76" t="inlineStr"/>
      <c r="N21" s="76" t="inlineStr"/>
      <c r="O21" s="55" t="inlineStr"/>
      <c r="P21" s="76" t="inlineStr"/>
    </row>
    <row r="22" ht="22" customHeight="1">
      <c r="A22" s="73" t="n">
        <v>17</v>
      </c>
      <c r="B22" s="29" t="inlineStr"/>
      <c r="C22" s="29" t="inlineStr"/>
      <c r="D22" s="29" t="inlineStr"/>
      <c r="F22" s="29" t="inlineStr"/>
      <c r="H22" s="29" t="inlineStr"/>
      <c r="J22" s="55" t="inlineStr"/>
      <c r="L22" s="29" t="inlineStr"/>
      <c r="M22" s="29" t="inlineStr"/>
      <c r="N22" s="29" t="inlineStr"/>
      <c r="O22" s="55" t="inlineStr"/>
      <c r="P22" s="29" t="inlineStr"/>
    </row>
    <row r="23" ht="22" customHeight="1">
      <c r="A23" s="75" t="n">
        <v>18</v>
      </c>
      <c r="B23" s="76" t="inlineStr"/>
      <c r="C23" s="76" t="inlineStr"/>
      <c r="D23" s="76" t="inlineStr"/>
      <c r="F23" s="76" t="inlineStr"/>
      <c r="H23" s="76" t="inlineStr"/>
      <c r="J23" s="55" t="inlineStr"/>
      <c r="L23" s="76" t="inlineStr"/>
      <c r="M23" s="76" t="inlineStr"/>
      <c r="N23" s="76" t="inlineStr"/>
      <c r="O23" s="55" t="inlineStr"/>
      <c r="P23" s="76" t="inlineStr"/>
    </row>
    <row r="24" ht="22" customHeight="1">
      <c r="A24" s="73" t="n">
        <v>19</v>
      </c>
      <c r="B24" s="29" t="inlineStr"/>
      <c r="C24" s="29" t="inlineStr"/>
      <c r="D24" s="29" t="inlineStr"/>
      <c r="F24" s="29" t="inlineStr"/>
      <c r="H24" s="29" t="inlineStr"/>
      <c r="J24" s="55" t="inlineStr"/>
      <c r="L24" s="29" t="inlineStr"/>
      <c r="M24" s="29" t="inlineStr"/>
      <c r="N24" s="29" t="inlineStr"/>
      <c r="O24" s="55" t="inlineStr"/>
      <c r="P24" s="29" t="inlineStr"/>
    </row>
    <row r="25" ht="22" customHeight="1">
      <c r="A25" s="75" t="n">
        <v>20</v>
      </c>
      <c r="B25" s="76" t="inlineStr"/>
      <c r="C25" s="76" t="inlineStr"/>
      <c r="D25" s="76" t="inlineStr"/>
      <c r="F25" s="76" t="inlineStr"/>
      <c r="H25" s="76" t="inlineStr"/>
      <c r="J25" s="55" t="inlineStr"/>
      <c r="L25" s="76" t="inlineStr"/>
      <c r="M25" s="76" t="inlineStr"/>
      <c r="N25" s="76" t="inlineStr"/>
      <c r="O25" s="55" t="inlineStr"/>
      <c r="P25" s="76" t="inlineStr"/>
    </row>
    <row r="26" ht="22" customHeight="1">
      <c r="A26" s="73" t="n">
        <v>21</v>
      </c>
      <c r="B26" s="29" t="inlineStr"/>
      <c r="C26" s="29" t="inlineStr"/>
      <c r="D26" s="29" t="inlineStr"/>
      <c r="F26" s="29" t="inlineStr"/>
      <c r="H26" s="29" t="inlineStr"/>
      <c r="J26" s="55" t="inlineStr"/>
      <c r="L26" s="29" t="inlineStr"/>
      <c r="M26" s="29" t="inlineStr"/>
      <c r="N26" s="29" t="inlineStr"/>
      <c r="O26" s="55" t="inlineStr"/>
      <c r="P26" s="29" t="inlineStr"/>
    </row>
    <row r="27" ht="22" customHeight="1">
      <c r="A27" s="75" t="n">
        <v>22</v>
      </c>
      <c r="B27" s="76" t="inlineStr"/>
      <c r="C27" s="76" t="inlineStr"/>
      <c r="D27" s="76" t="inlineStr"/>
      <c r="F27" s="76" t="inlineStr"/>
      <c r="H27" s="76" t="inlineStr"/>
      <c r="J27" s="55" t="inlineStr"/>
      <c r="L27" s="76" t="inlineStr"/>
      <c r="M27" s="76" t="inlineStr"/>
      <c r="N27" s="76" t="inlineStr"/>
      <c r="O27" s="55" t="inlineStr"/>
      <c r="P27" s="76" t="inlineStr"/>
    </row>
    <row r="28" ht="22" customHeight="1">
      <c r="A28" s="73" t="n">
        <v>23</v>
      </c>
      <c r="B28" s="29" t="inlineStr"/>
      <c r="C28" s="29" t="inlineStr"/>
      <c r="D28" s="29" t="inlineStr"/>
      <c r="F28" s="29" t="inlineStr"/>
      <c r="H28" s="29" t="inlineStr"/>
      <c r="J28" s="55" t="inlineStr"/>
      <c r="L28" s="29" t="inlineStr"/>
      <c r="M28" s="29" t="inlineStr"/>
      <c r="N28" s="29" t="inlineStr"/>
      <c r="O28" s="55" t="inlineStr"/>
      <c r="P28" s="29" t="inlineStr"/>
    </row>
    <row r="29" ht="22" customHeight="1">
      <c r="A29" s="75" t="n">
        <v>24</v>
      </c>
      <c r="B29" s="76" t="inlineStr"/>
      <c r="C29" s="76" t="inlineStr"/>
      <c r="D29" s="76" t="inlineStr"/>
      <c r="F29" s="76" t="inlineStr"/>
      <c r="H29" s="76" t="inlineStr"/>
      <c r="J29" s="55" t="inlineStr"/>
      <c r="L29" s="76" t="inlineStr"/>
      <c r="M29" s="76" t="inlineStr"/>
      <c r="N29" s="76" t="inlineStr"/>
      <c r="O29" s="55" t="inlineStr"/>
      <c r="P29" s="76" t="inlineStr"/>
    </row>
    <row r="30" ht="22" customHeight="1">
      <c r="A30" s="73" t="n">
        <v>25</v>
      </c>
      <c r="B30" s="29" t="inlineStr"/>
      <c r="C30" s="29" t="inlineStr"/>
      <c r="D30" s="29" t="inlineStr"/>
      <c r="F30" s="29" t="inlineStr"/>
      <c r="H30" s="29" t="inlineStr"/>
      <c r="J30" s="55" t="inlineStr"/>
      <c r="L30" s="29" t="inlineStr"/>
      <c r="M30" s="29" t="inlineStr"/>
      <c r="N30" s="29" t="inlineStr"/>
      <c r="O30" s="55" t="inlineStr"/>
      <c r="P30" s="29" t="inlineStr"/>
    </row>
    <row r="31" ht="22" customHeight="1">
      <c r="A31" s="75" t="n">
        <v>26</v>
      </c>
      <c r="B31" s="76" t="inlineStr"/>
      <c r="C31" s="76" t="inlineStr"/>
      <c r="D31" s="76" t="inlineStr"/>
      <c r="F31" s="76" t="inlineStr"/>
      <c r="H31" s="76" t="inlineStr"/>
      <c r="J31" s="55" t="inlineStr"/>
      <c r="L31" s="76" t="inlineStr"/>
      <c r="M31" s="76" t="inlineStr"/>
      <c r="N31" s="76" t="inlineStr"/>
      <c r="O31" s="55" t="inlineStr"/>
      <c r="P31" s="76" t="inlineStr"/>
    </row>
    <row r="32" ht="22" customHeight="1">
      <c r="A32" s="73" t="n">
        <v>27</v>
      </c>
      <c r="B32" s="29" t="inlineStr"/>
      <c r="C32" s="29" t="inlineStr"/>
      <c r="D32" s="29" t="inlineStr"/>
      <c r="F32" s="29" t="inlineStr"/>
      <c r="H32" s="29" t="inlineStr"/>
      <c r="J32" s="55" t="inlineStr"/>
      <c r="L32" s="29" t="inlineStr"/>
      <c r="M32" s="29" t="inlineStr"/>
      <c r="N32" s="29" t="inlineStr"/>
      <c r="O32" s="55" t="inlineStr"/>
      <c r="P32" s="29" t="inlineStr"/>
    </row>
    <row r="33" ht="22" customHeight="1">
      <c r="A33" s="75" t="n">
        <v>28</v>
      </c>
      <c r="B33" s="76" t="inlineStr"/>
      <c r="C33" s="76" t="inlineStr"/>
      <c r="D33" s="76" t="inlineStr"/>
      <c r="F33" s="76" t="inlineStr"/>
      <c r="H33" s="76" t="inlineStr"/>
      <c r="J33" s="55" t="inlineStr"/>
      <c r="L33" s="76" t="inlineStr"/>
      <c r="M33" s="76" t="inlineStr"/>
      <c r="N33" s="76" t="inlineStr"/>
      <c r="O33" s="55" t="inlineStr"/>
      <c r="P33" s="76" t="inlineStr"/>
    </row>
    <row r="34" ht="22" customHeight="1">
      <c r="A34" s="73" t="n">
        <v>29</v>
      </c>
      <c r="B34" s="29" t="inlineStr"/>
      <c r="C34" s="29" t="inlineStr"/>
      <c r="D34" s="29" t="inlineStr"/>
      <c r="F34" s="29" t="inlineStr"/>
      <c r="H34" s="29" t="inlineStr"/>
      <c r="J34" s="55" t="inlineStr"/>
      <c r="L34" s="29" t="inlineStr"/>
      <c r="M34" s="29" t="inlineStr"/>
      <c r="N34" s="29" t="inlineStr"/>
      <c r="O34" s="55" t="inlineStr"/>
      <c r="P34" s="29" t="inlineStr"/>
    </row>
    <row r="35" ht="22" customHeight="1">
      <c r="A35" s="75" t="n">
        <v>30</v>
      </c>
      <c r="B35" s="76" t="inlineStr"/>
      <c r="C35" s="76" t="inlineStr"/>
      <c r="D35" s="76" t="inlineStr"/>
      <c r="F35" s="76" t="inlineStr"/>
      <c r="H35" s="76" t="inlineStr"/>
      <c r="J35" s="55" t="inlineStr"/>
      <c r="L35" s="76" t="inlineStr"/>
      <c r="M35" s="76" t="inlineStr"/>
      <c r="N35" s="76" t="inlineStr"/>
      <c r="O35" s="55" t="inlineStr"/>
      <c r="P35" s="76" t="inlineStr"/>
    </row>
    <row r="36" ht="22" customHeight="1">
      <c r="A36" s="73" t="n">
        <v>31</v>
      </c>
      <c r="B36" s="29" t="inlineStr"/>
      <c r="C36" s="29" t="inlineStr"/>
      <c r="D36" s="29" t="inlineStr"/>
      <c r="F36" s="29" t="inlineStr"/>
      <c r="H36" s="29" t="inlineStr"/>
      <c r="J36" s="55" t="inlineStr"/>
      <c r="L36" s="29" t="inlineStr"/>
      <c r="M36" s="29" t="inlineStr"/>
      <c r="N36" s="29" t="inlineStr"/>
      <c r="O36" s="55" t="inlineStr"/>
      <c r="P36" s="29" t="inlineStr"/>
    </row>
    <row r="37" ht="22" customHeight="1">
      <c r="A37" s="75" t="n">
        <v>32</v>
      </c>
      <c r="B37" s="76" t="inlineStr"/>
      <c r="C37" s="76" t="inlineStr"/>
      <c r="D37" s="76" t="inlineStr"/>
      <c r="F37" s="76" t="inlineStr"/>
      <c r="H37" s="76" t="inlineStr"/>
      <c r="J37" s="55" t="inlineStr"/>
      <c r="L37" s="76" t="inlineStr"/>
      <c r="M37" s="76" t="inlineStr"/>
      <c r="N37" s="76" t="inlineStr"/>
      <c r="O37" s="55" t="inlineStr"/>
      <c r="P37" s="76" t="inlineStr"/>
    </row>
    <row r="38" ht="22" customHeight="1">
      <c r="A38" s="73" t="n">
        <v>33</v>
      </c>
      <c r="B38" s="29" t="inlineStr"/>
      <c r="C38" s="29" t="inlineStr"/>
      <c r="D38" s="29" t="inlineStr"/>
      <c r="F38" s="29" t="inlineStr"/>
      <c r="H38" s="29" t="inlineStr"/>
      <c r="J38" s="55" t="inlineStr"/>
      <c r="L38" s="29" t="inlineStr"/>
      <c r="M38" s="29" t="inlineStr"/>
      <c r="N38" s="29" t="inlineStr"/>
      <c r="O38" s="55" t="inlineStr"/>
      <c r="P38" s="29" t="inlineStr"/>
    </row>
    <row r="39" ht="22" customHeight="1">
      <c r="A39" s="75" t="n">
        <v>34</v>
      </c>
      <c r="B39" s="76" t="inlineStr"/>
      <c r="C39" s="76" t="inlineStr"/>
      <c r="D39" s="76" t="inlineStr"/>
      <c r="F39" s="76" t="inlineStr"/>
      <c r="H39" s="76" t="inlineStr"/>
      <c r="J39" s="55" t="inlineStr"/>
      <c r="L39" s="76" t="inlineStr"/>
      <c r="M39" s="76" t="inlineStr"/>
      <c r="N39" s="76" t="inlineStr"/>
      <c r="O39" s="55" t="inlineStr"/>
      <c r="P39" s="76" t="inlineStr"/>
    </row>
    <row r="40" ht="22" customHeight="1">
      <c r="A40" s="73" t="n">
        <v>35</v>
      </c>
      <c r="B40" s="29" t="inlineStr"/>
      <c r="C40" s="29" t="inlineStr"/>
      <c r="D40" s="29" t="inlineStr"/>
      <c r="F40" s="29" t="inlineStr"/>
      <c r="H40" s="29" t="inlineStr"/>
      <c r="J40" s="55" t="inlineStr"/>
      <c r="L40" s="29" t="inlineStr"/>
      <c r="M40" s="29" t="inlineStr"/>
      <c r="N40" s="29" t="inlineStr"/>
      <c r="O40" s="55" t="inlineStr"/>
      <c r="P40" s="29" t="inlineStr"/>
    </row>
    <row r="41" ht="22" customHeight="1">
      <c r="A41" s="75" t="n">
        <v>36</v>
      </c>
      <c r="B41" s="76" t="inlineStr"/>
      <c r="C41" s="76" t="inlineStr"/>
      <c r="D41" s="76" t="inlineStr"/>
      <c r="F41" s="76" t="inlineStr"/>
      <c r="H41" s="76" t="inlineStr"/>
      <c r="J41" s="55" t="inlineStr"/>
      <c r="L41" s="76" t="inlineStr"/>
      <c r="M41" s="76" t="inlineStr"/>
      <c r="N41" s="76" t="inlineStr"/>
      <c r="O41" s="55" t="inlineStr"/>
      <c r="P41" s="76" t="inlineStr"/>
    </row>
    <row r="42" ht="22" customHeight="1">
      <c r="A42" s="73" t="n">
        <v>37</v>
      </c>
      <c r="B42" s="29" t="inlineStr"/>
      <c r="C42" s="29" t="inlineStr"/>
      <c r="D42" s="29" t="inlineStr"/>
      <c r="F42" s="29" t="inlineStr"/>
      <c r="H42" s="29" t="inlineStr"/>
      <c r="J42" s="55" t="inlineStr"/>
      <c r="L42" s="29" t="inlineStr"/>
      <c r="M42" s="29" t="inlineStr"/>
      <c r="N42" s="29" t="inlineStr"/>
      <c r="O42" s="55" t="inlineStr"/>
      <c r="P42" s="29" t="inlineStr"/>
    </row>
    <row r="43" ht="22" customHeight="1">
      <c r="A43" s="75" t="n">
        <v>38</v>
      </c>
      <c r="B43" s="76" t="inlineStr"/>
      <c r="C43" s="76" t="inlineStr"/>
      <c r="D43" s="76" t="inlineStr"/>
      <c r="F43" s="76" t="inlineStr"/>
      <c r="H43" s="76" t="inlineStr"/>
      <c r="J43" s="55" t="inlineStr"/>
      <c r="L43" s="76" t="inlineStr"/>
      <c r="M43" s="76" t="inlineStr"/>
      <c r="N43" s="76" t="inlineStr"/>
      <c r="O43" s="55" t="inlineStr"/>
      <c r="P43" s="76" t="inlineStr"/>
    </row>
    <row r="44" ht="22" customHeight="1">
      <c r="A44" s="73" t="n">
        <v>39</v>
      </c>
      <c r="B44" s="29" t="inlineStr"/>
      <c r="C44" s="29" t="inlineStr"/>
      <c r="D44" s="29" t="inlineStr"/>
      <c r="F44" s="29" t="inlineStr"/>
      <c r="H44" s="29" t="inlineStr"/>
      <c r="J44" s="55" t="inlineStr"/>
      <c r="L44" s="29" t="inlineStr"/>
      <c r="M44" s="29" t="inlineStr"/>
      <c r="N44" s="29" t="inlineStr"/>
      <c r="O44" s="55" t="inlineStr"/>
      <c r="P44" s="29" t="inlineStr"/>
    </row>
    <row r="45" ht="22" customHeight="1">
      <c r="A45" s="75" t="n">
        <v>40</v>
      </c>
      <c r="B45" s="76" t="inlineStr"/>
      <c r="C45" s="76" t="inlineStr"/>
      <c r="D45" s="76" t="inlineStr"/>
      <c r="F45" s="76" t="inlineStr"/>
      <c r="H45" s="76" t="inlineStr"/>
      <c r="J45" s="55" t="inlineStr"/>
      <c r="L45" s="76" t="inlineStr"/>
      <c r="M45" s="76" t="inlineStr"/>
      <c r="N45" s="76" t="inlineStr"/>
      <c r="O45" s="55" t="inlineStr"/>
      <c r="P45" s="76" t="inlineStr"/>
    </row>
  </sheetData>
  <mergeCells count="167">
    <mergeCell ref="D20:E20"/>
    <mergeCell ref="H35:I35"/>
    <mergeCell ref="F29:G29"/>
    <mergeCell ref="F16:G16"/>
    <mergeCell ref="H10:I10"/>
    <mergeCell ref="F25:G25"/>
    <mergeCell ref="J10:K10"/>
    <mergeCell ref="J19:K19"/>
    <mergeCell ref="D22:E22"/>
    <mergeCell ref="J28:K28"/>
    <mergeCell ref="D36:E36"/>
    <mergeCell ref="D31:E31"/>
    <mergeCell ref="H9:I9"/>
    <mergeCell ref="D45:E45"/>
    <mergeCell ref="J9:K9"/>
    <mergeCell ref="D6:E6"/>
    <mergeCell ref="H39:I39"/>
    <mergeCell ref="F15:G15"/>
    <mergeCell ref="D13:E13"/>
    <mergeCell ref="J45:K45"/>
    <mergeCell ref="D7:E7"/>
    <mergeCell ref="H45:I45"/>
    <mergeCell ref="F23:G23"/>
    <mergeCell ref="H37:I37"/>
    <mergeCell ref="J31:K31"/>
    <mergeCell ref="F13:G13"/>
    <mergeCell ref="H13:I13"/>
    <mergeCell ref="F43:G43"/>
    <mergeCell ref="J21:K21"/>
    <mergeCell ref="D24:E24"/>
    <mergeCell ref="D33:E33"/>
    <mergeCell ref="H15:I15"/>
    <mergeCell ref="H23:I23"/>
    <mergeCell ref="K2:N2"/>
    <mergeCell ref="J23:K23"/>
    <mergeCell ref="D26:E26"/>
    <mergeCell ref="D35:E35"/>
    <mergeCell ref="D10:E10"/>
    <mergeCell ref="F10:G10"/>
    <mergeCell ref="D19:E19"/>
    <mergeCell ref="D34:E34"/>
    <mergeCell ref="F19:G19"/>
    <mergeCell ref="F34:G34"/>
    <mergeCell ref="H41:I41"/>
    <mergeCell ref="F6:G6"/>
    <mergeCell ref="H25:I25"/>
    <mergeCell ref="H34:I34"/>
    <mergeCell ref="F30:G30"/>
    <mergeCell ref="J34:K34"/>
    <mergeCell ref="D11:E11"/>
    <mergeCell ref="F5:G5"/>
    <mergeCell ref="F20:G20"/>
    <mergeCell ref="F18:G18"/>
    <mergeCell ref="F33:G33"/>
    <mergeCell ref="F45:G45"/>
    <mergeCell ref="F42:G42"/>
    <mergeCell ref="J27:K27"/>
    <mergeCell ref="H36:I36"/>
    <mergeCell ref="J36:K36"/>
    <mergeCell ref="F17:G17"/>
    <mergeCell ref="H17:I17"/>
    <mergeCell ref="H11:I11"/>
    <mergeCell ref="A3:N3"/>
    <mergeCell ref="J11:K11"/>
    <mergeCell ref="J20:K20"/>
    <mergeCell ref="D37:E37"/>
    <mergeCell ref="F31:G31"/>
    <mergeCell ref="H19:I19"/>
    <mergeCell ref="F28:G28"/>
    <mergeCell ref="H28:I28"/>
    <mergeCell ref="J22:K22"/>
    <mergeCell ref="D9:E9"/>
    <mergeCell ref="F9:G9"/>
    <mergeCell ref="D39:E39"/>
    <mergeCell ref="F39:G39"/>
    <mergeCell ref="H12:I12"/>
    <mergeCell ref="J12:K12"/>
    <mergeCell ref="D15:E15"/>
    <mergeCell ref="D29:E29"/>
    <mergeCell ref="D23:E23"/>
    <mergeCell ref="D38:E38"/>
    <mergeCell ref="H5:I5"/>
    <mergeCell ref="F44:G44"/>
    <mergeCell ref="H14:I14"/>
    <mergeCell ref="A2:J2"/>
    <mergeCell ref="J29:K29"/>
    <mergeCell ref="H38:I38"/>
    <mergeCell ref="J38:K38"/>
    <mergeCell ref="H43:I43"/>
    <mergeCell ref="H31:I31"/>
    <mergeCell ref="H40:I40"/>
    <mergeCell ref="F7:G7"/>
    <mergeCell ref="J40:K40"/>
    <mergeCell ref="F21:G21"/>
    <mergeCell ref="H21:I21"/>
    <mergeCell ref="J24:K24"/>
    <mergeCell ref="D27:E27"/>
    <mergeCell ref="F36:G36"/>
    <mergeCell ref="D17:E17"/>
    <mergeCell ref="J26:K26"/>
    <mergeCell ref="F8:G8"/>
    <mergeCell ref="J35:K35"/>
    <mergeCell ref="H16:I16"/>
    <mergeCell ref="J16:K16"/>
    <mergeCell ref="J25:K25"/>
    <mergeCell ref="D28:E28"/>
    <mergeCell ref="F22:G22"/>
    <mergeCell ref="H22:I22"/>
    <mergeCell ref="D12:E12"/>
    <mergeCell ref="D25:E25"/>
    <mergeCell ref="D30:E30"/>
    <mergeCell ref="H42:I42"/>
    <mergeCell ref="D5:E5"/>
    <mergeCell ref="J42:K42"/>
    <mergeCell ref="D14:E14"/>
    <mergeCell ref="F14:G14"/>
    <mergeCell ref="H30:I30"/>
    <mergeCell ref="J39:K39"/>
    <mergeCell ref="F11:G11"/>
    <mergeCell ref="J44:K44"/>
    <mergeCell ref="H20:I20"/>
    <mergeCell ref="J5:K5"/>
    <mergeCell ref="H29:I29"/>
    <mergeCell ref="J14:K14"/>
    <mergeCell ref="J37:K37"/>
    <mergeCell ref="D40:E40"/>
    <mergeCell ref="H44:I44"/>
    <mergeCell ref="J13:K13"/>
    <mergeCell ref="F40:G40"/>
    <mergeCell ref="D21:E21"/>
    <mergeCell ref="J30:K30"/>
    <mergeCell ref="F12:G12"/>
    <mergeCell ref="F24:G24"/>
    <mergeCell ref="H6:I6"/>
    <mergeCell ref="J6:K6"/>
    <mergeCell ref="J15:K15"/>
    <mergeCell ref="D32:E32"/>
    <mergeCell ref="F32:G32"/>
    <mergeCell ref="D41:E41"/>
    <mergeCell ref="F26:G26"/>
    <mergeCell ref="F41:G41"/>
    <mergeCell ref="F35:G35"/>
    <mergeCell ref="D16:E16"/>
    <mergeCell ref="F38:G38"/>
    <mergeCell ref="H32:I32"/>
    <mergeCell ref="H7:I7"/>
    <mergeCell ref="D43:E43"/>
    <mergeCell ref="J32:K32"/>
    <mergeCell ref="J7:K7"/>
    <mergeCell ref="J41:K41"/>
    <mergeCell ref="D18:E18"/>
    <mergeCell ref="F27:G27"/>
    <mergeCell ref="H27:I27"/>
    <mergeCell ref="D8:E8"/>
    <mergeCell ref="F37:G37"/>
    <mergeCell ref="J43:K43"/>
    <mergeCell ref="D42:E42"/>
    <mergeCell ref="H24:I24"/>
    <mergeCell ref="H18:I18"/>
    <mergeCell ref="H33:I33"/>
    <mergeCell ref="J18:K18"/>
    <mergeCell ref="J33:K33"/>
    <mergeCell ref="H8:I8"/>
    <mergeCell ref="J8:K8"/>
    <mergeCell ref="D44:E44"/>
    <mergeCell ref="J17:K17"/>
    <mergeCell ref="H26:I26"/>
  </mergeCells>
  <dataValidations count="2">
    <dataValidation sqref="J6 J7 J8 J9 J10 J11 J12 J13 J14 J15 J16 J17 J18 J19 J20 J21 J22 J23 J24 J25 J26 J27 J28 J29 J30 J31 J32 J33 J34 J35 J36 J37 J38 J39 J40 J41 J42 J43 J44 J45" showDropDown="0" showInputMessage="0" showErrorMessage="0" allowBlank="1" type="list">
      <formula1>"RELANCE,BLOCAGE AVANCE,ESCALADE DG,CORRECTION,INVESTIGATION,INFORMATION"</formula1>
    </dataValidation>
    <dataValidation sqref="O6 O7 O8 O9 O10 O11 O12 O13 O14 O15 O16 O17 O18 O19 O20 O21 O22 O23 O24 O25 O26 O27 O28 O29 O30 O31 O32 O33 O34 O35 O36 O37 O38 O39 O40 O41 O42 O43 O44 O45" showDropDown="0" showInputMessage="0" showErrorMessage="0" allowBlank="1" type="list">
      <formula1>"OUVERT,EN COURS,RÉSOLU,ESCALADÉ"</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N35"/>
  <sheetViews>
    <sheetView showGridLines="0" workbookViewId="0">
      <selection activeCell="A1" sqref="A1"/>
    </sheetView>
  </sheetViews>
  <sheetFormatPr baseColWidth="8" defaultRowHeight="15"/>
  <cols>
    <col width="3" customWidth="1" min="1" max="1"/>
    <col width="5" customWidth="1" min="2" max="2"/>
    <col width="30" customWidth="1" min="3" max="3"/>
    <col width="22" customWidth="1" min="4" max="4"/>
    <col width="14"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8" customHeight="1"/>
    <row r="2" ht="32" customHeight="1">
      <c r="A2" s="1" t="inlineStr">
        <is>
          <t>KILIMA Holdings — Protocole de signalement des tâches</t>
        </is>
      </c>
    </row>
    <row r="3" ht="18" customHeight="1">
      <c r="A3" s="95" t="inlineStr">
        <is>
          <t>Ce protocole explique à chaque agent EXACTEMENT ce qu'il doit envoyer, où, et quand. À distribuer à tous les agents.</t>
        </is>
      </c>
    </row>
    <row r="4" ht="8" customHeight="1"/>
    <row r="5" ht="20" customHeight="1">
      <c r="A5" s="56" t="inlineStr">
        <is>
          <t>RÈGLE GÉNÉRALE — Valable pour tous les agents</t>
        </is>
      </c>
    </row>
    <row r="6" ht="50" customHeight="1">
      <c r="A6" s="96" t="inlineStr">
        <is>
          <t>Chaque agent envoie un message dans le canal Teams de SON entité selon ce format exact :
FAIT / [NOM ENTITÉ] / [Tâche] / [Heure] / [Obs. si anomalie]
Exemple : FAIT / KAKO-LOG / Fiche Course transmise / 17h42 / RAS</t>
        </is>
      </c>
    </row>
    <row r="7" ht="8" customHeight="1"/>
    <row r="8" ht="20" customHeight="1">
      <c r="A8" s="71" t="inlineStr">
        <is>
          <t>CANAUX TEAMS DÉDIÉS — Un canal par entité</t>
        </is>
      </c>
    </row>
    <row r="9" ht="20" customHeight="1">
      <c r="A9" s="18" t="inlineStr">
        <is>
          <t>Canal Teams</t>
        </is>
      </c>
      <c r="C9" s="18" t="inlineStr">
        <is>
          <t>Entité concernée</t>
        </is>
      </c>
      <c r="G9" s="18" t="inlineStr">
        <is>
          <t>Agents autorisés à poster</t>
        </is>
      </c>
      <c r="K9" s="18" t="inlineStr">
        <is>
          <t>Heure limite</t>
        </is>
      </c>
    </row>
    <row r="10" ht="22" customHeight="1">
      <c r="A10" s="57" t="inlineStr">
        <is>
          <t>KILIMA — KAKO Logistique</t>
        </is>
      </c>
      <c r="C10" s="29" t="inlineStr">
        <is>
          <t>KAKO Logistique</t>
        </is>
      </c>
      <c r="G10" s="30" t="inlineStr">
        <is>
          <t>Vinciane, Franck MUTWALE, Dispatcher</t>
        </is>
      </c>
      <c r="K10" s="31" t="inlineStr">
        <is>
          <t>18h00</t>
        </is>
      </c>
    </row>
    <row r="11" ht="22" customHeight="1">
      <c r="A11" s="60" t="inlineStr">
        <is>
          <t>KILIMA — DAKAM</t>
        </is>
      </c>
      <c r="C11" s="61" t="inlineStr">
        <is>
          <t>DAKAM Sarl</t>
        </is>
      </c>
      <c r="G11" s="62" t="inlineStr">
        <is>
          <t>Jacques MALIGIJA</t>
        </is>
      </c>
      <c r="K11" s="97" t="inlineStr">
        <is>
          <t>18h00</t>
        </is>
      </c>
    </row>
    <row r="12" ht="22" customHeight="1">
      <c r="A12" s="57" t="inlineStr">
        <is>
          <t>KILIMA — KAKO Likasi</t>
        </is>
      </c>
      <c r="C12" s="29" t="inlineStr">
        <is>
          <t>KAKO Sarl Likasi</t>
        </is>
      </c>
      <c r="G12" s="30" t="inlineStr">
        <is>
          <t>Raphael KYUNGU, Vendeur Likasi, Resp. PV</t>
        </is>
      </c>
      <c r="K12" s="31" t="inlineStr">
        <is>
          <t>18h00</t>
        </is>
      </c>
    </row>
    <row r="13" ht="22" customHeight="1">
      <c r="A13" s="60" t="inlineStr">
        <is>
          <t>KILIMA — KAKO Kolwezi</t>
        </is>
      </c>
      <c r="C13" s="61" t="inlineStr">
        <is>
          <t>KAKO Sarl Kolwezi</t>
        </is>
      </c>
      <c r="G13" s="62" t="inlineStr">
        <is>
          <t>Patient KAPEND, Franck MUTWALE, Resp. IT</t>
        </is>
      </c>
      <c r="K13" s="97" t="inlineStr">
        <is>
          <t>18h00</t>
        </is>
      </c>
    </row>
    <row r="14" ht="22" customHeight="1">
      <c r="A14" s="57" t="inlineStr">
        <is>
          <t>KILIMA — GHR</t>
        </is>
      </c>
      <c r="C14" s="29" t="inlineStr">
        <is>
          <t>Guest House Relax</t>
        </is>
      </c>
      <c r="G14" s="30" t="inlineStr">
        <is>
          <t>Raphael T, Réceptionniste, Agent GHR, Idris</t>
        </is>
      </c>
      <c r="K14" s="69" t="inlineStr">
        <is>
          <t>22h00</t>
        </is>
      </c>
    </row>
    <row r="15" ht="22" customHeight="1">
      <c r="A15" s="60" t="inlineStr">
        <is>
          <t>KILIMA — HORIZON</t>
        </is>
      </c>
      <c r="C15" s="61" t="inlineStr">
        <is>
          <t>Ets HORIZON</t>
        </is>
      </c>
      <c r="G15" s="62" t="inlineStr">
        <is>
          <t>Vinciane, Raphael KYUNGU, DT Ruffin</t>
        </is>
      </c>
      <c r="K15" s="97" t="inlineStr">
        <is>
          <t>18h00</t>
        </is>
      </c>
    </row>
    <row r="16" ht="22" customHeight="1">
      <c r="A16" s="57" t="inlineStr">
        <is>
          <t>KILIMA — PLANET</t>
        </is>
      </c>
      <c r="C16" s="29" t="inlineStr">
        <is>
          <t>PLANET Sarl</t>
        </is>
      </c>
      <c r="G16" s="30" t="inlineStr">
        <is>
          <t>Raphael T</t>
        </is>
      </c>
      <c r="K16" s="31" t="inlineStr">
        <is>
          <t>18h00</t>
        </is>
      </c>
    </row>
    <row r="17" ht="22" customHeight="1">
      <c r="A17" s="60" t="inlineStr">
        <is>
          <t>KILIMA — Caisse</t>
        </is>
      </c>
      <c r="C17" s="61" t="inlineStr">
        <is>
          <t>Caisse centrale</t>
        </is>
      </c>
      <c r="G17" s="62" t="inlineStr">
        <is>
          <t>Eliane MUSOLO, Patient KAPEND</t>
        </is>
      </c>
      <c r="K17" s="97" t="inlineStr">
        <is>
          <t>17h30</t>
        </is>
      </c>
    </row>
    <row r="19" ht="20" customHeight="1">
      <c r="A19" s="64" t="inlineStr">
        <is>
          <t>MESSAGES TYPES PAR AGENT — Copier-coller ces modèles</t>
        </is>
      </c>
    </row>
    <row r="20" ht="16" customHeight="1">
      <c r="A20" s="60" t="inlineStr">
        <is>
          <t>Ass. Tech. Vinciane</t>
        </is>
      </c>
      <c r="C20" s="98" t="inlineStr">
        <is>
          <t>KAKO Logistique (quotidien)</t>
        </is>
      </c>
      <c r="E20" s="29" t="inlineStr">
        <is>
          <t>FAIT / KAKO-LOG / Fiche Course N°[X] transmise + Rapport journalier / [HEURE] / [RAS ou anomalie si présente]</t>
        </is>
      </c>
    </row>
    <row r="21" ht="16" customHeight="1">
      <c r="A21" s="60" t="inlineStr">
        <is>
          <t>Franck MUTWALE</t>
        </is>
      </c>
      <c r="C21" s="98" t="inlineStr">
        <is>
          <t>KAKO Logistique (quotidien)</t>
        </is>
      </c>
      <c r="E21" s="23" t="inlineStr">
        <is>
          <t>FAIT / KAKO-LOG / Journal comptable saisi / [HEURE] / Avances non justifiées : [OUI/NON — si OUI détail]</t>
        </is>
      </c>
    </row>
    <row r="22" ht="16" customHeight="1">
      <c r="A22" s="99" t="inlineStr">
        <is>
          <t>Jacques MALIGIJA</t>
        </is>
      </c>
      <c r="C22" s="100" t="inlineStr">
        <is>
          <t>DAKAM (quotidien)</t>
        </is>
      </c>
      <c r="E22" s="29" t="inlineStr">
        <is>
          <t>FAIT / DAKAM / Journal comptable + commandes GCK enregistrées / [HEURE] / Stock GCK : [niveaux par type]</t>
        </is>
      </c>
    </row>
    <row r="23" ht="16" customHeight="1">
      <c r="A23" s="101" t="inlineStr">
        <is>
          <t>Raphael KYUNGU</t>
        </is>
      </c>
      <c r="C23" s="102" t="inlineStr">
        <is>
          <t>KAKO Likasi (quotidien)</t>
        </is>
      </c>
      <c r="E23" s="23" t="inlineStr">
        <is>
          <t>FAIT / KAKO-LK / Ventes retail + journal caisse clôturé + stock mis à jour / [HEURE] / Total ventes : [X] USD</t>
        </is>
      </c>
    </row>
    <row r="24" ht="16" customHeight="1">
      <c r="A24" s="103" t="inlineStr">
        <is>
          <t>Patient KAPEND</t>
        </is>
      </c>
      <c r="C24" s="104" t="inlineStr">
        <is>
          <t>KAKO Kolwezi (quotidien)</t>
        </is>
      </c>
      <c r="E24" s="29" t="inlineStr">
        <is>
          <t>FAIT / KAKO-KOL / Ventes + journal caisse clôturé / [HEURE] / Écart caisse : [OUI/NON — si OUI montant]</t>
        </is>
      </c>
    </row>
    <row r="25" ht="16" customHeight="1">
      <c r="A25" s="60" t="inlineStr">
        <is>
          <t>Raphael T</t>
        </is>
      </c>
      <c r="C25" s="98" t="inlineStr">
        <is>
          <t>GHR (quotidien)</t>
        </is>
      </c>
      <c r="E25" s="23" t="inlineStr">
        <is>
          <t>FAIT / GHR / Factures DGI régularisées + rapport journalier / [HEURE] / Revenus hotel : [X] USD — Resto/Bar : [X] USD</t>
        </is>
      </c>
    </row>
    <row r="26" ht="16" customHeight="1">
      <c r="A26" s="99" t="inlineStr">
        <is>
          <t>Eliane MUSOLO</t>
        </is>
      </c>
      <c r="C26" s="100" t="inlineStr">
        <is>
          <t>Caisse centrale (quotidien)</t>
        </is>
      </c>
      <c r="E26" s="29" t="inlineStr">
        <is>
          <t>FAIT / CAISSE / Journal central clôturé + rapport caisse transmis / [HEURE] / Solde clôture : [X] USD / [X] CDF — Écart : [OUI/NON]</t>
        </is>
      </c>
    </row>
    <row r="27" ht="16" customHeight="1">
      <c r="A27" s="105" t="inlineStr">
        <is>
          <t>Vinciane</t>
        </is>
      </c>
      <c r="C27" s="106" t="inlineStr">
        <is>
          <t>HORIZON (quotidien)</t>
        </is>
      </c>
      <c r="E27" s="23" t="inlineStr">
        <is>
          <t>FAIT / HORIZON / Fiches Prestation reçues + tableau mis à jour + rapport transmis / [HEURE] / Engins en prestation : [N] — Incidents : [OUI/NON]</t>
        </is>
      </c>
    </row>
    <row r="29" ht="20" customHeight="1">
      <c r="A29" s="71" t="inlineStr">
        <is>
          <t>QUE FAIT LE DFI AVEC CES MESSAGES ?</t>
        </is>
      </c>
    </row>
    <row r="30" ht="22" customHeight="1">
      <c r="A30" s="18" t="inlineStr">
        <is>
          <t>17h30</t>
        </is>
      </c>
      <c r="C30" s="29" t="inlineStr">
        <is>
          <t>Eliane envoie son rapport de caisse → DFI ouvre le tableau de bord Excel, met à jour CAISSE = OK</t>
        </is>
      </c>
    </row>
    <row r="31" ht="22" customHeight="1">
      <c r="A31" s="18" t="inlineStr">
        <is>
          <t>18h00</t>
        </is>
      </c>
      <c r="C31" s="76" t="inlineStr">
        <is>
          <t>Chaque agent envoie son message Teams → DFI coche STATUT = OK dans le tableau de bord</t>
        </is>
      </c>
    </row>
    <row r="32" ht="22" customHeight="1">
      <c r="A32" s="18" t="inlineStr">
        <is>
          <t>18h30</t>
        </is>
      </c>
      <c r="C32" s="29" t="inlineStr">
        <is>
          <t>DFI scanne le tableau : tout ce qui n'est pas OK est une alerte → action immédiate</t>
        </is>
      </c>
    </row>
    <row r="33" ht="22" customHeight="1">
      <c r="A33" s="18" t="inlineStr">
        <is>
          <t>18h30</t>
        </is>
      </c>
      <c r="C33" s="76" t="inlineStr">
        <is>
          <t>Pour chaque RETARD ou MANQUANT : DFI envoie une relance Teams et enregistre dans l'onglet 'Actions &amp; Relances'</t>
        </is>
      </c>
    </row>
    <row r="34" ht="22" customHeight="1">
      <c r="A34" s="18" t="inlineStr">
        <is>
          <t>18h45</t>
        </is>
      </c>
      <c r="C34" s="29" t="inlineStr">
        <is>
          <t>Pour chaque ANOMALIE : DFI ouvre une investigation et enregistre dans l'onglet 'Actions &amp; Relances'</t>
        </is>
      </c>
    </row>
    <row r="35" ht="22" customHeight="1">
      <c r="A35" s="18" t="inlineStr">
        <is>
          <t>19h00</t>
        </is>
      </c>
      <c r="C35" s="76" t="inlineStr">
        <is>
          <t>DFI dispose d'une vue complète de la journée — peut répondre à la DG en moins de 5 minutes</t>
        </is>
      </c>
    </row>
  </sheetData>
  <mergeCells count="79">
    <mergeCell ref="K14:N14"/>
    <mergeCell ref="A15:B15"/>
    <mergeCell ref="E26:N26"/>
    <mergeCell ref="C31:N31"/>
    <mergeCell ref="C13:F13"/>
    <mergeCell ref="C15:F15"/>
    <mergeCell ref="A27:B27"/>
    <mergeCell ref="A33:B33"/>
    <mergeCell ref="C27:D27"/>
    <mergeCell ref="A17:B17"/>
    <mergeCell ref="C10:F10"/>
    <mergeCell ref="E20:N20"/>
    <mergeCell ref="A22:B22"/>
    <mergeCell ref="G10:J10"/>
    <mergeCell ref="C34:N34"/>
    <mergeCell ref="A35:B35"/>
    <mergeCell ref="A8:N8"/>
    <mergeCell ref="A9:B9"/>
    <mergeCell ref="A30:B30"/>
    <mergeCell ref="C17:F17"/>
    <mergeCell ref="A11:B11"/>
    <mergeCell ref="K13:N13"/>
    <mergeCell ref="G12:J12"/>
    <mergeCell ref="K15:N15"/>
    <mergeCell ref="E24:N24"/>
    <mergeCell ref="C14:F14"/>
    <mergeCell ref="A26:B26"/>
    <mergeCell ref="C32:N32"/>
    <mergeCell ref="A3:N3"/>
    <mergeCell ref="A5:N5"/>
    <mergeCell ref="C33:N33"/>
    <mergeCell ref="A10:B10"/>
    <mergeCell ref="C35:N35"/>
    <mergeCell ref="A34:B34"/>
    <mergeCell ref="K17:N17"/>
    <mergeCell ref="K9:L9"/>
    <mergeCell ref="G16:J16"/>
    <mergeCell ref="K10:N10"/>
    <mergeCell ref="C20:D20"/>
    <mergeCell ref="G9:J9"/>
    <mergeCell ref="A6:N6"/>
    <mergeCell ref="E21:N21"/>
    <mergeCell ref="C22:D22"/>
    <mergeCell ref="G11:J11"/>
    <mergeCell ref="A12:B12"/>
    <mergeCell ref="A21:B21"/>
    <mergeCell ref="E23:N23"/>
    <mergeCell ref="C21:D21"/>
    <mergeCell ref="A2:N2"/>
    <mergeCell ref="K11:N11"/>
    <mergeCell ref="A32:B32"/>
    <mergeCell ref="A14:B14"/>
    <mergeCell ref="A23:B23"/>
    <mergeCell ref="C23:D23"/>
    <mergeCell ref="C30:N30"/>
    <mergeCell ref="G13:J13"/>
    <mergeCell ref="C12:F12"/>
    <mergeCell ref="A29:N29"/>
    <mergeCell ref="G15:J15"/>
    <mergeCell ref="A24:B24"/>
    <mergeCell ref="E27:N27"/>
    <mergeCell ref="C24:D24"/>
    <mergeCell ref="E25:N25"/>
    <mergeCell ref="C26:D26"/>
    <mergeCell ref="A16:B16"/>
    <mergeCell ref="E22:N22"/>
    <mergeCell ref="A25:B25"/>
    <mergeCell ref="C25:D25"/>
    <mergeCell ref="K16:N16"/>
    <mergeCell ref="G17:J17"/>
    <mergeCell ref="C16:F16"/>
    <mergeCell ref="C9:F9"/>
    <mergeCell ref="A20:B20"/>
    <mergeCell ref="K12:N12"/>
    <mergeCell ref="A13:B13"/>
    <mergeCell ref="A19:N19"/>
    <mergeCell ref="C11:F11"/>
    <mergeCell ref="A31:B31"/>
    <mergeCell ref="G14:J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2026-06-16T22:30:58Z</dcterms:created>
  <dcterms:modified xmlns:dcterms="http://purl.org/dc/terms/" xmlns:xsi="http://www.w3.org/2001/XMLSchema-instance" xsi:type="dcterms:W3CDTF">2026-06-16T22:30:58Z</dcterms:modified>
</cp:coreProperties>
</file>